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ber &amp; Zubair Accessories Ltd-\Stock Report\"/>
    </mc:Choice>
  </mc:AlternateContent>
  <xr:revisionPtr revIDLastSave="0" documentId="13_ncr:1_{80261F91-31A6-463E-AFE6-A32BAD712231}" xr6:coauthVersionLast="47" xr6:coauthVersionMax="47" xr10:uidLastSave="{00000000-0000-0000-0000-000000000000}"/>
  <bookViews>
    <workbookView xWindow="-108" yWindow="-108" windowWidth="23256" windowHeight="12456" tabRatio="599" xr2:uid="{7127F81D-AAE5-4D50-BF28-9B5963FAE56F}"/>
  </bookViews>
  <sheets>
    <sheet name="Entitlement-NTTML&amp;TFL&amp;ZZ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5" i="5" l="1"/>
  <c r="I303" i="5"/>
  <c r="I139" i="5"/>
  <c r="I131" i="5"/>
  <c r="I75" i="5"/>
  <c r="I51" i="5"/>
  <c r="I39" i="5"/>
  <c r="F32" i="5"/>
  <c r="I8" i="5"/>
  <c r="I7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6" i="5"/>
  <c r="G146" i="5"/>
  <c r="F146" i="5"/>
  <c r="P146" i="5"/>
  <c r="O146" i="5"/>
  <c r="N146" i="5"/>
  <c r="M146" i="5"/>
  <c r="L146" i="5"/>
  <c r="K146" i="5"/>
  <c r="I146" i="5" l="1"/>
  <c r="M32" i="5" l="1"/>
  <c r="K32" i="5"/>
  <c r="N32" i="5" l="1"/>
  <c r="I32" i="5"/>
  <c r="L32" i="5"/>
  <c r="P32" i="5" l="1"/>
  <c r="O32" i="5"/>
</calcChain>
</file>

<file path=xl/sharedStrings.xml><?xml version="1.0" encoding="utf-8"?>
<sst xmlns="http://schemas.openxmlformats.org/spreadsheetml/2006/main" count="755" uniqueCount="464">
  <si>
    <t>S.L NO</t>
  </si>
  <si>
    <t>DESCRIPTION OF RAW MATERIALS</t>
  </si>
  <si>
    <t>Duplex Board</t>
  </si>
  <si>
    <t>Ivory  Board</t>
  </si>
  <si>
    <t>Printing Ink</t>
  </si>
  <si>
    <t>PP (Film Grade)</t>
  </si>
  <si>
    <t>PVC Film</t>
  </si>
  <si>
    <t>Adhesive Tape</t>
  </si>
  <si>
    <t>OPP Gum Tape</t>
  </si>
  <si>
    <t>Silicon Oil</t>
  </si>
  <si>
    <t>Polyester Yarn</t>
  </si>
  <si>
    <t>Rubber Thread</t>
  </si>
  <si>
    <t>Total</t>
  </si>
  <si>
    <t>All kinds of starch</t>
  </si>
  <si>
    <t>Coated Narrow Woven /
Plyester Satin Ribbon</t>
  </si>
  <si>
    <t>LDPE/LLDPE/HDPE</t>
  </si>
  <si>
    <t>Import Remaining Balance
IM-7</t>
  </si>
  <si>
    <t>HS Code</t>
  </si>
  <si>
    <t>Prappota Start Date</t>
  </si>
  <si>
    <t>Prappota Expiry Date</t>
  </si>
  <si>
    <t>4804.11.00
4804.31.00
4804.41.00
4801.51.00</t>
  </si>
  <si>
    <t>Kraft Liner/White Liner paper</t>
  </si>
  <si>
    <t xml:space="preserve">Medium Paper/
Multy ply coated Solid Bleached Board
</t>
  </si>
  <si>
    <t xml:space="preserve">4805.11.00
4805.24.00
4805.92.90
4805.93.90
4810.92.00
</t>
  </si>
  <si>
    <t>3505.10.00
1108.14.00
1108.12.00</t>
  </si>
  <si>
    <t>4810.92.00</t>
  </si>
  <si>
    <t>Tissue Paper</t>
  </si>
  <si>
    <t>4803.00.00</t>
  </si>
  <si>
    <t>3920.49.10</t>
  </si>
  <si>
    <t>3902.10.00</t>
  </si>
  <si>
    <t>3919.10.00
3919.90.10</t>
  </si>
  <si>
    <t>3919.90.10</t>
  </si>
  <si>
    <t>Thinner</t>
  </si>
  <si>
    <t>3814.00.90</t>
  </si>
  <si>
    <t>Flexo Graphic Printing INK</t>
  </si>
  <si>
    <t>3215.19.00
3215.11.90</t>
  </si>
  <si>
    <t>100% Spun Polyester/Cotton Sweing Thread/Yarn
or Other Multiple (Folded) of Polyester Yarn</t>
  </si>
  <si>
    <t>5401.10.00
5204.11.00
5402.39.00
5402.62.00</t>
  </si>
  <si>
    <t>3910.00.00</t>
  </si>
  <si>
    <t>100% Polyester Taxured Yarn</t>
  </si>
  <si>
    <t>5402.33.00</t>
  </si>
  <si>
    <t>5402.47.00</t>
  </si>
  <si>
    <t xml:space="preserve">4007.00.00
4001.10.00
</t>
  </si>
  <si>
    <t>Self Adhesive Film</t>
  </si>
  <si>
    <t>3919.90.99</t>
  </si>
  <si>
    <t>Flexo Graphic Printining Plate/Nylon Plate</t>
  </si>
  <si>
    <t>8442.50.90</t>
  </si>
  <si>
    <t>Aluminium/PS Plate</t>
  </si>
  <si>
    <t>3701.30.10
3701.30.90</t>
  </si>
  <si>
    <t>Zipper/Splider</t>
  </si>
  <si>
    <t>9607.19.00
9607.20.00</t>
  </si>
  <si>
    <t>Aluminium Ware/Plate for Nylon or Coel Zipper</t>
  </si>
  <si>
    <t>7605.19.00
7606.12.00</t>
  </si>
  <si>
    <t>Bonded Ware House-1</t>
  </si>
  <si>
    <t>Bonded Ware House-2</t>
  </si>
  <si>
    <t>Bonded Ware House-3</t>
  </si>
  <si>
    <t xml:space="preserve">Bonded </t>
  </si>
  <si>
    <t>UNIT NAME</t>
  </si>
  <si>
    <t>ZZAL</t>
  </si>
  <si>
    <t>NTTML</t>
  </si>
  <si>
    <t>Gray Woven Fabrics:</t>
  </si>
  <si>
    <t>A)</t>
  </si>
  <si>
    <t>Unbleached Plain weave, weighing not more than 100 g/m2</t>
  </si>
  <si>
    <t>5208.11.00</t>
  </si>
  <si>
    <t>Unbleached 3 Or 4-Thread Twill</t>
  </si>
  <si>
    <t>5208.13.00</t>
  </si>
  <si>
    <t>Unbleached Other fabrics</t>
  </si>
  <si>
    <t>5208.19.00</t>
  </si>
  <si>
    <t>Unbleached Plain weave</t>
  </si>
  <si>
    <t>5209.11.00</t>
  </si>
  <si>
    <t>5209.19.00</t>
  </si>
  <si>
    <t>Bleached 3- thread or 4- thread twill, including cross twill</t>
  </si>
  <si>
    <t>5209.22.00</t>
  </si>
  <si>
    <t>5209.12.00</t>
  </si>
  <si>
    <t>Bleached Woven Cotton Fabrics</t>
  </si>
  <si>
    <t>5209.29.00</t>
  </si>
  <si>
    <t>Unbleached Woven Cotton Fabrics, Nes, With</t>
  </si>
  <si>
    <t>5210.19.00</t>
  </si>
  <si>
    <t>Bleached Plain Cotton Woven Fabrics</t>
  </si>
  <si>
    <t>5210.21.00</t>
  </si>
  <si>
    <t>5211.12.00</t>
  </si>
  <si>
    <t>Unbleached Woven Cotton Fabrics, Nes,</t>
  </si>
  <si>
    <t>5211.19.00</t>
  </si>
  <si>
    <t>Unbleached Woven Fabrics Of Cotton,</t>
  </si>
  <si>
    <t>5212.11.00</t>
  </si>
  <si>
    <t xml:space="preserve">Bleached OrUnbleached, Woven Fabrics Of Flax, </t>
  </si>
  <si>
    <t>5309.11.00</t>
  </si>
  <si>
    <t xml:space="preserve">Woven Fabrics Of Flax, </t>
  </si>
  <si>
    <t>5309.29.00</t>
  </si>
  <si>
    <t xml:space="preserve">Fabrics Of Synthetic Filament Yarn </t>
  </si>
  <si>
    <t>5407.30.00</t>
  </si>
  <si>
    <t>Floor coverings of felt, not tufted or flocked Of other textile materials nes,</t>
  </si>
  <si>
    <t>5801.90.00</t>
  </si>
  <si>
    <t>Pile fabrics, including "long pile" fabrics and terry fabrics, knitted or crocheted</t>
  </si>
  <si>
    <t>6001.92.00</t>
  </si>
  <si>
    <t xml:space="preserve">Fleece Fabrics / Knitted or crocheted fabrics of a </t>
  </si>
  <si>
    <t>width not exceeding 30 cm – Of synthetic fibres</t>
  </si>
  <si>
    <t>6003.30.00</t>
  </si>
  <si>
    <t>Of Man-Made Fibres</t>
  </si>
  <si>
    <t>B)</t>
  </si>
  <si>
    <t>C)</t>
  </si>
  <si>
    <t>All Kinds Of Yarn:</t>
  </si>
  <si>
    <t>Combed Single Cotton Yarn</t>
  </si>
  <si>
    <t>5205.21.00</t>
  </si>
  <si>
    <t>Uncombed Single Cotton Yarn</t>
  </si>
  <si>
    <t>5206.11.00</t>
  </si>
  <si>
    <t>Uncombed Sin.Cot.Yarn</t>
  </si>
  <si>
    <t>5205.11.00</t>
  </si>
  <si>
    <t>Combed Cabled Cotton Yarn</t>
  </si>
  <si>
    <t>5205.42.00</t>
  </si>
  <si>
    <t>Single Yarn, Artificial Staple Fibres, Nprs</t>
  </si>
  <si>
    <t>5510.11.00</t>
  </si>
  <si>
    <t>Yarn of Synthetic Staple fibres, other/Polyester Staple Fibres, Mixed With Cotton, Nprs</t>
  </si>
  <si>
    <t>5509.53.00</t>
  </si>
  <si>
    <t>Yarn,Polyester Staple Fibres,Nes,Nprs(Exl.Arti/Wool/Cotton Staplefibre</t>
  </si>
  <si>
    <t>5509.59.00</t>
  </si>
  <si>
    <t>Synthetic Filament Yarn, Polyester  Yarn</t>
  </si>
  <si>
    <t>Synthetic Filament Yarn , Nylon Yarn</t>
  </si>
  <si>
    <t>5402.31.00</t>
  </si>
  <si>
    <t>Yarn of artificial Staple fibres, Other</t>
  </si>
  <si>
    <t>5510.90.00</t>
  </si>
  <si>
    <t>Cotton Yarn, Other</t>
  </si>
  <si>
    <t>5207.90.00</t>
  </si>
  <si>
    <t>Synthetic Filament Yarn, Other</t>
  </si>
  <si>
    <t>5402.69.00</t>
  </si>
  <si>
    <t>Single Yarn/ PVA Yarn / PVA Film</t>
  </si>
  <si>
    <t>5509.41.00</t>
  </si>
  <si>
    <t>Other, of polypropylene yarn</t>
  </si>
  <si>
    <t>5402.48.00</t>
  </si>
  <si>
    <t>- Single yarn, of uncombed fibres</t>
  </si>
  <si>
    <t>5205.12.00</t>
  </si>
  <si>
    <t xml:space="preserve">- Single yarn, of combed fibres </t>
  </si>
  <si>
    <t>5205.22.00</t>
  </si>
  <si>
    <t xml:space="preserve">- Multiple (folded) or cabled yarn, of uncombed fibres </t>
  </si>
  <si>
    <t>5205.31.00</t>
  </si>
  <si>
    <t>5205.32.00</t>
  </si>
  <si>
    <t>5206.12.00</t>
  </si>
  <si>
    <t>5206.21.00</t>
  </si>
  <si>
    <t>- Single yarn, of combed fibres</t>
  </si>
  <si>
    <t>5206.22.00</t>
  </si>
  <si>
    <t>- Multiple (folded) or cabled yarn, of uncombed fibres</t>
  </si>
  <si>
    <t>5206.31.00</t>
  </si>
  <si>
    <t>5206.32.00</t>
  </si>
  <si>
    <t>Reactive Dyes.</t>
  </si>
  <si>
    <t>3204.16.00</t>
  </si>
  <si>
    <t>Fluoresent Brightening Agents</t>
  </si>
  <si>
    <t>3204.20.00</t>
  </si>
  <si>
    <t>Other, Synthetic Organic Coloring Matter/Sulphur Dyes</t>
  </si>
  <si>
    <t>3204.19.00</t>
  </si>
  <si>
    <t>Synthetic Organic Products Used as Luminophores.</t>
  </si>
  <si>
    <t>3204.90.00</t>
  </si>
  <si>
    <t>Disperse Dyes.</t>
  </si>
  <si>
    <t>3204.11.00</t>
  </si>
  <si>
    <t>AZO Dyes,</t>
  </si>
  <si>
    <t xml:space="preserve">3204.13.10 </t>
  </si>
  <si>
    <t>Other basic dyes and preparation</t>
  </si>
  <si>
    <t>3204.13.90</t>
  </si>
  <si>
    <t>Pigments Dyes</t>
  </si>
  <si>
    <t>3204.17.00</t>
  </si>
  <si>
    <t>Acid Dyes</t>
  </si>
  <si>
    <t>3204.12.00</t>
  </si>
  <si>
    <t>Direct Dyes.</t>
  </si>
  <si>
    <t>3204.14.00</t>
  </si>
  <si>
    <t>Vat Dyes</t>
  </si>
  <si>
    <t>3204.15.00</t>
  </si>
  <si>
    <t>All Kinds Of Dyes:</t>
  </si>
  <si>
    <t>3507.90.90</t>
  </si>
  <si>
    <t>Sodium Hydroxide In Aqueous Solution (Soda Lye Or Liquid Soda)</t>
  </si>
  <si>
    <t>2815.12.00</t>
  </si>
  <si>
    <t>Sodium carbonate / Disodium carbonate/ Soda Ash</t>
  </si>
  <si>
    <t>2836.20.00</t>
  </si>
  <si>
    <t>Sodium Hydroxide (Caustic Soda-Flakes &amp; Solid)</t>
  </si>
  <si>
    <t>2815.11.00</t>
  </si>
  <si>
    <t>Acetic Acid</t>
  </si>
  <si>
    <t>2915.21.00</t>
  </si>
  <si>
    <t>Hydrogen Peroxide</t>
  </si>
  <si>
    <t>2847.00.00</t>
  </si>
  <si>
    <t>List of Textiles Chemical</t>
  </si>
  <si>
    <t>Other surface-active preparations, washing preparations</t>
  </si>
  <si>
    <t>3402.49.90</t>
  </si>
  <si>
    <t>Textile Finishing Agent (Softner)</t>
  </si>
  <si>
    <t>3809.91.00</t>
  </si>
  <si>
    <t>Silicones in primary forms (Silicones Softner)</t>
  </si>
  <si>
    <t>Washing &amp; Cleaning Preparations /Surface active preparations /Wetting Agents</t>
  </si>
  <si>
    <t>3402.90.90</t>
  </si>
  <si>
    <t>Detergents</t>
  </si>
  <si>
    <t>3402.90.10</t>
  </si>
  <si>
    <t>Washing &amp; Cleaning Preparations /Surface active preparations /Leveling Agents</t>
  </si>
  <si>
    <t>3824.99.99</t>
  </si>
  <si>
    <t>Buffering agent based on Acetic</t>
  </si>
  <si>
    <t>Buffering agent based on Formic  acid</t>
  </si>
  <si>
    <t>2915.11.00</t>
  </si>
  <si>
    <t>Non-Ionic Surface Active agent</t>
  </si>
  <si>
    <t>3402.42.10</t>
  </si>
  <si>
    <t>3402.42.90</t>
  </si>
  <si>
    <t>Washing &amp; Cleaning Preparations /Surface active preparations / Dispersing and leveling agent  for polyester</t>
  </si>
  <si>
    <t>Washing &amp; Cleaning Preparations /Surface active preparations / Dispersing and leveling agent for Nylon</t>
  </si>
  <si>
    <t>Washing &amp; Cleaning Preparations /Surface active preparations / Dispersing and leveling Agent</t>
  </si>
  <si>
    <t>Washing &amp; Cleaning Preparations/ soaping Agents</t>
  </si>
  <si>
    <t>Acrylic Polymers in primary forms</t>
  </si>
  <si>
    <t>3906.90.00</t>
  </si>
  <si>
    <t>Lubricating Preparations for theTreatement Of Textile</t>
  </si>
  <si>
    <t>3403.91.00</t>
  </si>
  <si>
    <t>Washing &amp; Cleaning Preparations /Surface Active preparations/ /Washing Off Agent</t>
  </si>
  <si>
    <t>Washing &amp; Cleaning Preparations /Surface Active preparations/ Soaping /Washing Off Agent</t>
  </si>
  <si>
    <t>Cationic Surface-Active Agents/Cationic Softener</t>
  </si>
  <si>
    <t>3402.41.00</t>
  </si>
  <si>
    <t>Textile Finishing Agents/Non-ionic Softener</t>
  </si>
  <si>
    <t>Lubricating Preparations for the Treatement Of Textile/Silicone softner</t>
  </si>
  <si>
    <t>Textile Finishing Agent /Peroxide Killer</t>
  </si>
  <si>
    <t>Textile Finishing Agent /Reducing Agents</t>
  </si>
  <si>
    <t>Peroxoborates</t>
  </si>
  <si>
    <t>2840.30.00</t>
  </si>
  <si>
    <t>Other Sulphonated, Nitrated or Nitrosated Derivatives of Hydrocarbons/Anti Reducing Agents</t>
  </si>
  <si>
    <t>2904.99.00</t>
  </si>
  <si>
    <t>Textile Finishing Agent /Peroxide Stabilizer</t>
  </si>
  <si>
    <t>Zinc Oxide; Zinc Peroxide</t>
  </si>
  <si>
    <t>2817.00.00</t>
  </si>
  <si>
    <t>Potassium Hydroxide (Caustic Potash)</t>
  </si>
  <si>
    <t>2815.20.00</t>
  </si>
  <si>
    <t>Hydrogen Chloride (Hydrochloric Acid)</t>
  </si>
  <si>
    <t>2806.10.00</t>
  </si>
  <si>
    <t>Oxalic Acid, Its Salts And Esters</t>
  </si>
  <si>
    <t>2917.11.00</t>
  </si>
  <si>
    <t>Formic Acid</t>
  </si>
  <si>
    <t>Textile Finishing Agent  /Oxidizing Agent</t>
  </si>
  <si>
    <t>Aluminium Chloride</t>
  </si>
  <si>
    <t>2827.32.00</t>
  </si>
  <si>
    <t>Ion-Exchangers Based On Polymers</t>
  </si>
  <si>
    <t>3914.00.00</t>
  </si>
  <si>
    <t>chemical products and preparations of the chemical or allied industries/Chemicals for Effluents treatment-De colour (Antiscaling Compound/Preparation)</t>
  </si>
  <si>
    <t>Activated Natural Mineral Products</t>
  </si>
  <si>
    <t>3802.90.00</t>
  </si>
  <si>
    <t>Glycerol</t>
  </si>
  <si>
    <t>2905.45.00</t>
  </si>
  <si>
    <t>Calcium Chloride</t>
  </si>
  <si>
    <t>2827.20.00</t>
  </si>
  <si>
    <t>Sulphates; alums; peroxosulphates /persulphates</t>
  </si>
  <si>
    <t>2833.29.90</t>
  </si>
  <si>
    <t>Sodium Acetate</t>
  </si>
  <si>
    <t>2915.29.10</t>
  </si>
  <si>
    <t>Commercial Calcium Hypochlonate and Other Calcium Hypochlonates –Bleaching Powder</t>
  </si>
  <si>
    <t>2828.10.00</t>
  </si>
  <si>
    <t>Alginic acid, its salts and esters</t>
  </si>
  <si>
    <t>3913.10.00</t>
  </si>
  <si>
    <t>Natural and modified natural polymers, in primary forms-Sodium Alginate</t>
  </si>
  <si>
    <t>3913.90.00</t>
  </si>
  <si>
    <t>Flame Retardants</t>
  </si>
  <si>
    <t>2931.90.00</t>
  </si>
  <si>
    <t>Defomaing agent</t>
  </si>
  <si>
    <t>3402.49.10</t>
  </si>
  <si>
    <t>Other Organic surface-active agents</t>
  </si>
  <si>
    <t>3402.39.00</t>
  </si>
  <si>
    <t>Other Chemical, Chemical preparations, Chemical products</t>
  </si>
  <si>
    <t>and preparations of the chemical or allied industries (Choloro Parafin Wax/ Antiscalling Compound/Cross Linking Agent/Sequestering agent/Silicon Spray/ Chlorinated Parafin Wax/ Peroxide Stablizer/Dispersing and leveling Agents)</t>
  </si>
  <si>
    <t>D)</t>
  </si>
  <si>
    <t>Dextrin and other modified starches</t>
  </si>
  <si>
    <t>Maize (corn) starch</t>
  </si>
  <si>
    <t>Manioc (cassava) starch</t>
  </si>
  <si>
    <t>Other starches</t>
  </si>
  <si>
    <t>Tapioca and substitutes therefor prepared from starch, in the form of flakes, grains, pearls, siftings or in similar forms.</t>
  </si>
  <si>
    <t>3505.10.00</t>
  </si>
  <si>
    <t>1108.12.00</t>
  </si>
  <si>
    <t>1108.14.00</t>
  </si>
  <si>
    <t>1108.19.00</t>
  </si>
  <si>
    <t>1903.00.00</t>
  </si>
  <si>
    <t>Polyvinyl Alcohol, Whether Or Not Containing Unhydrolysed Acetate Groups/PVA-217 PK</t>
  </si>
  <si>
    <t>3905.30.00</t>
  </si>
  <si>
    <t>Artificial waxes and prepared waxes</t>
  </si>
  <si>
    <t>3404.90.90</t>
  </si>
  <si>
    <t>List of Sizing Chemical</t>
  </si>
  <si>
    <t>Sodium Sulphates (Excl. Disodium Sulphate-Glauber’s Salt</t>
  </si>
  <si>
    <t>2833.19.00</t>
  </si>
  <si>
    <t>2833.11.00</t>
  </si>
  <si>
    <t>Dithionites And Sulphoxylates Of Sodium-(Sodium Hydrosulfite)</t>
  </si>
  <si>
    <t>2831.10.00</t>
  </si>
  <si>
    <t>Disodium carbonate</t>
  </si>
  <si>
    <t>Sodium Hydrogencarbonate (Sodium Bicarbonate)</t>
  </si>
  <si>
    <t>2836.30.00</t>
  </si>
  <si>
    <t>Disodium Sulphate/ Disodium Sulphate Anhydrous</t>
  </si>
  <si>
    <t>SALT</t>
  </si>
  <si>
    <t>Bonded Ware 
House-1</t>
  </si>
  <si>
    <t>Art Card/Solid Card/
PS Plate/Thermal Plate/Multy ply coated Solid Bleached Board</t>
  </si>
  <si>
    <t>4810.99.10
4810.99.90
4802.58.00
3701.30.00
3701.30.90
4802.92.00</t>
  </si>
  <si>
    <t>4810.99.10
4810.99.90</t>
  </si>
  <si>
    <t>3215.19.00
3215.11.00</t>
  </si>
  <si>
    <t>5806.32.00
5806.39.00
5903.90.90
5807.90.00
5807.10.00
5806.23.10</t>
  </si>
  <si>
    <t>3901.10.00
3901.20.00
3901.40.00
3901.10.90</t>
  </si>
  <si>
    <t>TOTAL IMPORT PRAPPOTA (MT)
14.03.2026-13.03.2027</t>
  </si>
  <si>
    <t xml:space="preserve">Bond Entitlement -UNIT: ZZAL </t>
  </si>
  <si>
    <t>Bond Entitlement -UNIT: NTTML</t>
  </si>
  <si>
    <t xml:space="preserve">AS per Sales Contract </t>
  </si>
  <si>
    <t>TOTAL IMPORT PRAPPOTA(MT)
06.06.2026-05.06.2027</t>
  </si>
  <si>
    <t>Accessories:</t>
  </si>
  <si>
    <t>Labels, Badges... Of Textiles, Unwoven, In Piece., Not Embroidered/ Badges/ RF</t>
  </si>
  <si>
    <t>5807.90.00</t>
  </si>
  <si>
    <t>Labels, Badges... Of Textiles, Woven, In Piece..., Not Embroidered</t>
  </si>
  <si>
    <t>5807.10.00</t>
  </si>
  <si>
    <t xml:space="preserve">Printed Paper Or Paperboard Labels/Ticket Of All Kinds </t>
  </si>
  <si>
    <t>4821.10.00</t>
  </si>
  <si>
    <t>Paper Or Paperboard Labels Of All Kinds (Excl. Printed)</t>
  </si>
  <si>
    <t>4821.90.90</t>
  </si>
  <si>
    <t>Clothing Accessories</t>
  </si>
  <si>
    <t>4203.40.00</t>
  </si>
  <si>
    <t>Glossine/ Price Ticket, Paper (Header),Sticker, Ticket</t>
  </si>
  <si>
    <t>4823.90.10</t>
  </si>
  <si>
    <t>Paper Separator/ Price Ticket, Paper (Header),Sticker, Ticket</t>
  </si>
  <si>
    <t>4823.90.91</t>
  </si>
  <si>
    <t>Printed Paper Or  Paper Tag/Security Tag /Hang Tag / Paper Tag / Paper or paperboard labels of all kinds.</t>
  </si>
  <si>
    <t>Clothing Accessories, Nes/ Paper Tag/Security Tag</t>
  </si>
  <si>
    <t>6217.10.00</t>
  </si>
  <si>
    <t>Clothing Accessories, Nes/ PP Header</t>
  </si>
  <si>
    <t>Braids, in the Piece/Fabric Label</t>
  </si>
  <si>
    <t>5808.10.00</t>
  </si>
  <si>
    <t>Knit Fabric/ oth. Knitted or crocheted fabrics of artificial fibres,nes</t>
  </si>
  <si>
    <t>6006.90.00</t>
  </si>
  <si>
    <t>Oth Knitted Or Crocheted Fabrics Of Synthetic Fibres Printed</t>
  </si>
  <si>
    <t>6006.34.00</t>
  </si>
  <si>
    <t>Oth.Knitted Or Crocheted Fabrics Of Synthetic Fibres,Dyed</t>
  </si>
  <si>
    <t>6006.32.00</t>
  </si>
  <si>
    <t>Gum Tape/Scose Tape/Taslin Tap/Plastick Label/Sticker</t>
  </si>
  <si>
    <t>RFID Label / RFID TAG.</t>
  </si>
  <si>
    <t>8523.59.20</t>
  </si>
  <si>
    <t>Printed circuits. (EAS Tag)</t>
  </si>
  <si>
    <t>8534.00.00</t>
  </si>
  <si>
    <t>Proximity cards and Tags/ RFID Label</t>
  </si>
  <si>
    <t>8523.59.10</t>
  </si>
  <si>
    <t xml:space="preserve">Paper or paperboard labels of all kinds- - Printed.  </t>
  </si>
  <si>
    <t>Label/Ticket / Price Ticket, Paper Header/ Sticker/ Ticket/ Paper Banderole /Hang Tag / Paper Tag</t>
  </si>
  <si>
    <t>Stretch Wrapping Film</t>
  </si>
  <si>
    <t>3920.10.10</t>
  </si>
  <si>
    <t>other articles of Plastic/ Pin (Tap)/Pin, Plastic Tag</t>
  </si>
  <si>
    <t>3926.90.99</t>
  </si>
  <si>
    <t>Cartons, Boxes And Cases, Of Corrugated Paper Or Paperboard</t>
  </si>
  <si>
    <t>4819.10.00</t>
  </si>
  <si>
    <t>Folding Cartons, Boxes And Cases, Of Non-Corrugated Paper Or Paperboard</t>
  </si>
  <si>
    <t>4819.20.00</t>
  </si>
  <si>
    <t>Fitted with chain scoops of base metal (Ziper, Slider)</t>
  </si>
  <si>
    <t>9607.11.00</t>
  </si>
  <si>
    <t>Slide fasteners and parts thereof Other (Slide fasteners and parts thereof Ziper, Slider)</t>
  </si>
  <si>
    <t>9607.19.00</t>
  </si>
  <si>
    <t>Ziper, Slider Parts(Ziper, Slider)</t>
  </si>
  <si>
    <t>9607.20.00</t>
  </si>
  <si>
    <t>Of polymers of ethylene (Poly Bag)</t>
  </si>
  <si>
    <t>3923.21.00</t>
  </si>
  <si>
    <t>Poly Bag (Printed)</t>
  </si>
  <si>
    <t>3923.29.90</t>
  </si>
  <si>
    <t>Barcode Ribbons</t>
  </si>
  <si>
    <t>9612.10.90</t>
  </si>
  <si>
    <t xml:space="preserve">Press-fasteners, snap-fasteners and press-studs and parts therefor (Snap Button, Snap Button Parts, Press Fastner, Snap Fastner) </t>
  </si>
  <si>
    <t>9606.10.00</t>
  </si>
  <si>
    <t>Sewing Thread</t>
  </si>
  <si>
    <t>5401.10.00</t>
  </si>
  <si>
    <t>5401.20.00</t>
  </si>
  <si>
    <t>Other articles of plastics and articles of other materials of heading (Plastic Hanger, Hanger Accessories)</t>
  </si>
  <si>
    <t>3926.20.90</t>
  </si>
  <si>
    <t>Bonded 
(Finished Goods)</t>
  </si>
  <si>
    <t>Other than Streptokinase-Enzyme/Enzyme</t>
  </si>
  <si>
    <t>Import Remaining Balance
IM-7 (MT)</t>
  </si>
  <si>
    <t>Import (bond benefits)
IM-7 (MT)</t>
  </si>
  <si>
    <t>Local Import /IM-4
(MT)</t>
  </si>
  <si>
    <t>Import (bond benefits) (MT)
IM-7</t>
  </si>
  <si>
    <t>Local Import /IM-4(MT)</t>
  </si>
  <si>
    <t>Bonded Ware  House-3</t>
  </si>
  <si>
    <t>Cotton Yarn (Single yarn, of uncombed fibres)</t>
  </si>
  <si>
    <t>5205.13.00</t>
  </si>
  <si>
    <t>5205.14.00</t>
  </si>
  <si>
    <t>5205.15.00</t>
  </si>
  <si>
    <t>Cotton Yarn (Single yarn, of combed fibres)</t>
  </si>
  <si>
    <t>5205.23.00</t>
  </si>
  <si>
    <t>5205.24.00</t>
  </si>
  <si>
    <t>5205.26.00</t>
  </si>
  <si>
    <t>5205.27.00</t>
  </si>
  <si>
    <t>5205.28.00</t>
  </si>
  <si>
    <t>Cotton Yarn (Multiple or cabled yarn, of uncombed fibres )</t>
  </si>
  <si>
    <t>5205.33.00</t>
  </si>
  <si>
    <t>5205.34.00</t>
  </si>
  <si>
    <t>5205.35.00</t>
  </si>
  <si>
    <t>Cotton Yarn (Multiple Folded or cabled yarn, of combed fibres )</t>
  </si>
  <si>
    <t>5205.41.00</t>
  </si>
  <si>
    <t>5205.43.00</t>
  </si>
  <si>
    <t>5205.44.00</t>
  </si>
  <si>
    <t>5205.46.00</t>
  </si>
  <si>
    <t>5205.47.00</t>
  </si>
  <si>
    <t>5205.48.00</t>
  </si>
  <si>
    <t>5206.13.00</t>
  </si>
  <si>
    <t>5206.14.00</t>
  </si>
  <si>
    <t>5206.15.00</t>
  </si>
  <si>
    <t>5206.23.00</t>
  </si>
  <si>
    <t>5206.24.00</t>
  </si>
  <si>
    <t>5206.25.00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</si>
  <si>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</si>
  <si>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</si>
  <si>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</si>
  <si>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</si>
  <si>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</si>
  <si>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</si>
  <si>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</si>
  <si>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</si>
  <si>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Metalized round yarn</t>
  </si>
  <si>
    <t>5605.00.10</t>
  </si>
  <si>
    <t>Textured Yarn, Of Nylon Or Other Polyamides</t>
  </si>
  <si>
    <t xml:space="preserve">Textured Yarn, Of Nylon Or Other Polyamides, </t>
  </si>
  <si>
    <t>5402.32.00</t>
  </si>
  <si>
    <t>Textured Yarn of Polyester</t>
  </si>
  <si>
    <t>(Synthetic filament yarn, Other Yarn, single, with a twist exceeding 50 turns per metre) Elastometric</t>
  </si>
  <si>
    <t>5402.44.00</t>
  </si>
  <si>
    <t>Other yarn, single, untwisted or with a twist not exceeding 50 turns per metre</t>
  </si>
  <si>
    <t>5402.46.00</t>
  </si>
  <si>
    <t>Other yarn, single, untwisted or with a twist not exceeding 50 turns per metre (other of Polyester)</t>
  </si>
  <si>
    <t>5402.49.00</t>
  </si>
  <si>
    <t>Yarn (Other than sewing thred) of syntetic staple fibres Not put up for retail Sale.</t>
  </si>
  <si>
    <t>5509.11.00</t>
  </si>
  <si>
    <t>5509.12.00</t>
  </si>
  <si>
    <t>5509.21.00</t>
  </si>
  <si>
    <t>5509.22.00</t>
  </si>
  <si>
    <t>5509.31.00</t>
  </si>
  <si>
    <t>5509.32.00</t>
  </si>
  <si>
    <t>5509.42.00</t>
  </si>
  <si>
    <t>5509.51.00</t>
  </si>
  <si>
    <t>5509.52.00</t>
  </si>
  <si>
    <t>5509.61.00</t>
  </si>
  <si>
    <t>5509.62.00</t>
  </si>
  <si>
    <t>5509.91.00</t>
  </si>
  <si>
    <t>5509.92.00</t>
  </si>
  <si>
    <t>5509.99.00</t>
  </si>
  <si>
    <t>Yarn (Other than sewing thred) of Artificial Staple Fibres Not put up for retail Sale.</t>
  </si>
  <si>
    <t xml:space="preserve">5510.12.10 </t>
  </si>
  <si>
    <t xml:space="preserve">5510.12.90 </t>
  </si>
  <si>
    <t xml:space="preserve">5510.30.10 </t>
  </si>
  <si>
    <t xml:space="preserve">5510.30.90 </t>
  </si>
  <si>
    <t>Yarn (Other than sewing thred) of man-made Staple Fibres Not Put Up For Retail Sale</t>
  </si>
  <si>
    <t xml:space="preserve">5511.10.00 </t>
  </si>
  <si>
    <t xml:space="preserve">5511.20.00 </t>
  </si>
  <si>
    <t xml:space="preserve">5511.30.00 </t>
  </si>
  <si>
    <t>Synthetic filament yarn, Other Yarn, single, with a twist exceeding 50 turns per metre (of nylon)</t>
  </si>
  <si>
    <t xml:space="preserve">5402.51.00 </t>
  </si>
  <si>
    <t>Synthetic filament yarn, Other Yarn, single, with a twist exceeding 50 turns per metre (of Polyester)</t>
  </si>
  <si>
    <t xml:space="preserve">5402.52.00 </t>
  </si>
  <si>
    <t>Synthetic filament yarn, Other Yarn, single, with a twist exceeding 50 turns per metre (of Polyproplene)</t>
  </si>
  <si>
    <t xml:space="preserve">5402.53.00 </t>
  </si>
  <si>
    <t xml:space="preserve">Synthetic filament yarn, Other Yarn, </t>
  </si>
  <si>
    <t xml:space="preserve">5402.61.00 </t>
  </si>
  <si>
    <t>Synthetic filament yarn, Other Yarn, (of Polyester)</t>
  </si>
  <si>
    <t xml:space="preserve">5402.62.00 </t>
  </si>
  <si>
    <t xml:space="preserve">5402.63.00 </t>
  </si>
  <si>
    <t>Other Synthetic filament yarn</t>
  </si>
  <si>
    <t>5402.19.00</t>
  </si>
  <si>
    <t>Other Of Viscose Rayon,</t>
  </si>
  <si>
    <t>5403.41.00</t>
  </si>
  <si>
    <t>Other Artificial filament Yarn,</t>
  </si>
  <si>
    <t>5403.49.00</t>
  </si>
  <si>
    <t>Single Yarn</t>
  </si>
  <si>
    <t>Yarn</t>
  </si>
  <si>
    <t>Sizing Chemical</t>
  </si>
  <si>
    <t>Starch (Dextrin and other modified starches)</t>
  </si>
  <si>
    <t>Finishing Agents Etc. Of A Kind Used In The Textile Or Like Industries Nes</t>
  </si>
  <si>
    <t>Artificial Waxes and Prepared Waxes</t>
  </si>
  <si>
    <t>Acrylic Polymers, In Primary Forms</t>
  </si>
  <si>
    <t xml:space="preserve"> </t>
  </si>
  <si>
    <t>Bond Entitlement -UNIT: TFL</t>
  </si>
  <si>
    <t>TOTAL IMPORT PRAPPOTA(MT)
08.11.2025-07.11.2026</t>
  </si>
  <si>
    <t>TFL</t>
  </si>
  <si>
    <t>Bonded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</si>
</sst>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6"/>
      <color rgb="FF000000"/>
      <name val="Times New Roman"/>
      <family val="1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indexed="64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medium">
        <color indexed="64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70C0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medium">
        <color rgb="FF0070C0"/>
      </top>
      <bottom style="thin">
        <color indexed="64"/>
      </bottom>
      <diagonal/>
    </border>
    <border>
      <left/>
      <right/>
      <top style="medium">
        <color rgb="FF0070C0"/>
      </top>
      <bottom style="thin">
        <color indexed="64"/>
      </bottom>
      <diagonal/>
    </border>
    <border>
      <left/>
      <right style="thin">
        <color rgb="FF0070C0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indexed="64"/>
      </right>
      <top style="medium">
        <color rgb="FF0070C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indexed="64"/>
      </bottom>
      <diagonal/>
    </border>
    <border>
      <left style="thin">
        <color rgb="FF0070C0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70C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rgb="FF0070C0"/>
      </left>
      <right style="medium">
        <color indexed="64"/>
      </right>
      <top style="medium">
        <color rgb="FF0070C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medium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rgb="FF0070C0"/>
      </left>
      <right/>
      <top style="thin">
        <color indexed="64"/>
      </top>
      <bottom/>
      <diagonal/>
    </border>
    <border>
      <left/>
      <right style="thin">
        <color rgb="FF0070C0"/>
      </right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3">
    <xf numFmtId="0" fontId="0" fillId="0" borderId="0" xfId="0"/>
    <xf numFmtId="0" fontId="3" fillId="3" borderId="0" xfId="0" applyFont="1" applyFill="1"/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43" fontId="5" fillId="6" borderId="15" xfId="1" applyFont="1" applyFill="1" applyBorder="1" applyAlignment="1">
      <alignment horizontal="center"/>
    </xf>
    <xf numFmtId="43" fontId="5" fillId="5" borderId="15" xfId="1" applyFont="1" applyFill="1" applyBorder="1" applyAlignment="1">
      <alignment horizontal="center"/>
    </xf>
    <xf numFmtId="43" fontId="5" fillId="5" borderId="16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6" borderId="1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left" vertical="center"/>
    </xf>
    <xf numFmtId="43" fontId="5" fillId="3" borderId="8" xfId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6" borderId="17" xfId="0" applyFont="1" applyFill="1" applyBorder="1" applyAlignment="1">
      <alignment horizontal="center" vertical="center" wrapText="1"/>
    </xf>
    <xf numFmtId="43" fontId="5" fillId="4" borderId="15" xfId="1" applyFont="1" applyFill="1" applyBorder="1" applyAlignment="1">
      <alignment horizontal="center"/>
    </xf>
    <xf numFmtId="43" fontId="5" fillId="3" borderId="13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/>
    </xf>
    <xf numFmtId="0" fontId="3" fillId="3" borderId="13" xfId="0" applyFont="1" applyFill="1" applyBorder="1"/>
    <xf numFmtId="0" fontId="8" fillId="3" borderId="19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43" fontId="5" fillId="3" borderId="19" xfId="1" applyFont="1" applyFill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/>
    </xf>
    <xf numFmtId="43" fontId="5" fillId="3" borderId="20" xfId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14" fontId="4" fillId="3" borderId="11" xfId="0" applyNumberFormat="1" applyFont="1" applyFill="1" applyBorder="1" applyAlignment="1">
      <alignment horizontal="center" vertical="center"/>
    </xf>
    <xf numFmtId="43" fontId="5" fillId="3" borderId="11" xfId="1" applyFont="1" applyFill="1" applyBorder="1" applyAlignment="1">
      <alignment horizontal="center" vertical="center"/>
    </xf>
    <xf numFmtId="43" fontId="4" fillId="2" borderId="26" xfId="1" applyFont="1" applyFill="1" applyBorder="1" applyAlignment="1">
      <alignment horizontal="center" vertical="center"/>
    </xf>
    <xf numFmtId="14" fontId="4" fillId="3" borderId="13" xfId="0" applyNumberFormat="1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43" fontId="4" fillId="2" borderId="13" xfId="1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/>
    </xf>
    <xf numFmtId="43" fontId="4" fillId="2" borderId="13" xfId="1" applyFont="1" applyFill="1" applyBorder="1" applyAlignment="1">
      <alignment horizontal="center"/>
    </xf>
    <xf numFmtId="0" fontId="5" fillId="7" borderId="11" xfId="0" applyFont="1" applyFill="1" applyBorder="1" applyAlignment="1">
      <alignment horizontal="left" vertical="center"/>
    </xf>
    <xf numFmtId="0" fontId="12" fillId="7" borderId="13" xfId="0" applyFont="1" applyFill="1" applyBorder="1" applyAlignment="1">
      <alignment horizontal="left" vertical="center"/>
    </xf>
    <xf numFmtId="14" fontId="4" fillId="3" borderId="19" xfId="0" applyNumberFormat="1" applyFont="1" applyFill="1" applyBorder="1" applyAlignment="1">
      <alignment horizontal="center" vertical="center"/>
    </xf>
    <xf numFmtId="43" fontId="4" fillId="3" borderId="19" xfId="1" applyFont="1" applyFill="1" applyBorder="1" applyAlignment="1">
      <alignment horizontal="center" vertical="center"/>
    </xf>
    <xf numFmtId="43" fontId="4" fillId="3" borderId="19" xfId="1" applyFont="1" applyFill="1" applyBorder="1" applyAlignment="1">
      <alignment horizontal="center"/>
    </xf>
    <xf numFmtId="43" fontId="4" fillId="2" borderId="19" xfId="1" applyFont="1" applyFill="1" applyBorder="1" applyAlignment="1">
      <alignment horizontal="center"/>
    </xf>
    <xf numFmtId="14" fontId="4" fillId="3" borderId="20" xfId="0" applyNumberFormat="1" applyFont="1" applyFill="1" applyBorder="1" applyAlignment="1">
      <alignment horizontal="center" vertical="center"/>
    </xf>
    <xf numFmtId="43" fontId="4" fillId="3" borderId="20" xfId="1" applyFont="1" applyFill="1" applyBorder="1" applyAlignment="1">
      <alignment horizontal="center" vertical="center"/>
    </xf>
    <xf numFmtId="43" fontId="4" fillId="3" borderId="20" xfId="1" applyFont="1" applyFill="1" applyBorder="1" applyAlignment="1">
      <alignment horizontal="center"/>
    </xf>
    <xf numFmtId="43" fontId="4" fillId="2" borderId="20" xfId="1" applyFont="1" applyFill="1" applyBorder="1" applyAlignment="1">
      <alignment horizontal="center"/>
    </xf>
    <xf numFmtId="0" fontId="13" fillId="0" borderId="13" xfId="0" applyFont="1" applyBorder="1" applyAlignment="1">
      <alignment horizontal="justify" vertical="center" wrapText="1"/>
    </xf>
    <xf numFmtId="0" fontId="10" fillId="0" borderId="13" xfId="0" applyFont="1" applyBorder="1" applyAlignment="1">
      <alignment horizontal="justify" vertical="center" wrapText="1"/>
    </xf>
    <xf numFmtId="0" fontId="10" fillId="0" borderId="19" xfId="0" applyFont="1" applyBorder="1" applyAlignment="1">
      <alignment horizontal="center" vertical="center" wrapText="1"/>
    </xf>
    <xf numFmtId="0" fontId="3" fillId="3" borderId="19" xfId="0" applyFont="1" applyFill="1" applyBorder="1"/>
    <xf numFmtId="0" fontId="10" fillId="0" borderId="24" xfId="0" applyFont="1" applyBorder="1" applyAlignment="1">
      <alignment horizontal="center" vertical="center" wrapText="1"/>
    </xf>
    <xf numFmtId="14" fontId="4" fillId="3" borderId="24" xfId="0" applyNumberFormat="1" applyFont="1" applyFill="1" applyBorder="1" applyAlignment="1">
      <alignment horizontal="center" vertical="center"/>
    </xf>
    <xf numFmtId="43" fontId="5" fillId="4" borderId="8" xfId="1" applyFont="1" applyFill="1" applyBorder="1" applyAlignment="1">
      <alignment horizontal="center" vertical="center"/>
    </xf>
    <xf numFmtId="43" fontId="4" fillId="3" borderId="8" xfId="1" applyFont="1" applyFill="1" applyBorder="1" applyAlignment="1">
      <alignment horizontal="center" vertical="center"/>
    </xf>
    <xf numFmtId="43" fontId="4" fillId="3" borderId="18" xfId="1" applyFont="1" applyFill="1" applyBorder="1" applyAlignment="1">
      <alignment horizontal="center" vertical="center"/>
    </xf>
    <xf numFmtId="0" fontId="3" fillId="3" borderId="24" xfId="0" applyFont="1" applyFill="1" applyBorder="1"/>
    <xf numFmtId="0" fontId="10" fillId="0" borderId="20" xfId="0" applyFont="1" applyBorder="1" applyAlignment="1">
      <alignment horizontal="center" vertical="center" wrapText="1"/>
    </xf>
    <xf numFmtId="0" fontId="3" fillId="3" borderId="20" xfId="0" applyFont="1" applyFill="1" applyBorder="1"/>
    <xf numFmtId="43" fontId="5" fillId="4" borderId="13" xfId="1" applyFont="1" applyFill="1" applyBorder="1" applyAlignment="1">
      <alignment horizontal="center" vertical="center"/>
    </xf>
    <xf numFmtId="43" fontId="5" fillId="3" borderId="24" xfId="1" applyFont="1" applyFill="1" applyBorder="1" applyAlignment="1">
      <alignment horizontal="center" vertical="center"/>
    </xf>
    <xf numFmtId="43" fontId="5" fillId="4" borderId="24" xfId="1" applyFont="1" applyFill="1" applyBorder="1" applyAlignment="1">
      <alignment horizontal="center" vertical="center"/>
    </xf>
    <xf numFmtId="43" fontId="4" fillId="3" borderId="24" xfId="1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24" xfId="0" applyFont="1" applyFill="1" applyBorder="1"/>
    <xf numFmtId="0" fontId="3" fillId="4" borderId="20" xfId="0" applyFont="1" applyFill="1" applyBorder="1"/>
    <xf numFmtId="43" fontId="5" fillId="3" borderId="13" xfId="1" applyFont="1" applyFill="1" applyBorder="1" applyAlignment="1">
      <alignment vertical="center"/>
    </xf>
    <xf numFmtId="0" fontId="3" fillId="4" borderId="13" xfId="0" applyFont="1" applyFill="1" applyBorder="1"/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43" fontId="5" fillId="3" borderId="13" xfId="1" applyFont="1" applyFill="1" applyBorder="1" applyAlignment="1">
      <alignment horizontal="center"/>
    </xf>
    <xf numFmtId="43" fontId="5" fillId="4" borderId="13" xfId="1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/>
    </xf>
    <xf numFmtId="43" fontId="5" fillId="6" borderId="30" xfId="1" applyFont="1" applyFill="1" applyBorder="1" applyAlignment="1">
      <alignment horizontal="center"/>
    </xf>
    <xf numFmtId="43" fontId="5" fillId="4" borderId="30" xfId="1" applyFont="1" applyFill="1" applyBorder="1" applyAlignment="1">
      <alignment horizontal="center"/>
    </xf>
    <xf numFmtId="43" fontId="5" fillId="5" borderId="30" xfId="1" applyFont="1" applyFill="1" applyBorder="1" applyAlignment="1">
      <alignment horizontal="center"/>
    </xf>
    <xf numFmtId="43" fontId="5" fillId="5" borderId="31" xfId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7" fillId="9" borderId="9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wrapText="1"/>
    </xf>
    <xf numFmtId="14" fontId="4" fillId="3" borderId="13" xfId="0" applyNumberFormat="1" applyFont="1" applyFill="1" applyBorder="1" applyAlignment="1">
      <alignment horizontal="center"/>
    </xf>
    <xf numFmtId="43" fontId="5" fillId="10" borderId="13" xfId="1" applyFont="1" applyFill="1" applyBorder="1" applyAlignment="1">
      <alignment horizontal="center" vertical="center"/>
    </xf>
    <xf numFmtId="43" fontId="5" fillId="10" borderId="13" xfId="1" applyFont="1" applyFill="1" applyBorder="1" applyAlignment="1">
      <alignment horizontal="center"/>
    </xf>
    <xf numFmtId="43" fontId="5" fillId="10" borderId="30" xfId="1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43" fontId="5" fillId="3" borderId="19" xfId="1" applyFont="1" applyFill="1" applyBorder="1" applyAlignment="1">
      <alignment horizontal="center" vertical="center"/>
    </xf>
    <xf numFmtId="43" fontId="5" fillId="3" borderId="20" xfId="1" applyFont="1" applyFill="1" applyBorder="1" applyAlignment="1">
      <alignment horizontal="center" vertical="center"/>
    </xf>
    <xf numFmtId="43" fontId="5" fillId="3" borderId="13" xfId="1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15" fillId="0" borderId="0" xfId="0" applyFont="1" applyAlignment="1">
      <alignment horizontal="center"/>
    </xf>
    <xf numFmtId="43" fontId="5" fillId="3" borderId="21" xfId="1" applyFont="1" applyFill="1" applyBorder="1" applyAlignment="1">
      <alignment horizontal="center" vertical="center"/>
    </xf>
    <xf numFmtId="43" fontId="5" fillId="3" borderId="22" xfId="1" applyFont="1" applyFill="1" applyBorder="1" applyAlignment="1">
      <alignment horizontal="center" vertical="center"/>
    </xf>
    <xf numFmtId="43" fontId="5" fillId="3" borderId="23" xfId="1" applyFont="1" applyFill="1" applyBorder="1" applyAlignment="1">
      <alignment horizontal="center" vertical="center"/>
    </xf>
    <xf numFmtId="0" fontId="3" fillId="3" borderId="27" xfId="0" applyFont="1" applyFill="1" applyBorder="1"/>
    <xf numFmtId="0" fontId="3" fillId="4" borderId="27" xfId="0" applyFont="1" applyFill="1" applyBorder="1"/>
    <xf numFmtId="43" fontId="5" fillId="4" borderId="32" xfId="1" applyFont="1" applyFill="1" applyBorder="1" applyAlignment="1">
      <alignment horizontal="center" vertical="center"/>
    </xf>
    <xf numFmtId="43" fontId="5" fillId="3" borderId="32" xfId="1" applyFont="1" applyFill="1" applyBorder="1" applyAlignment="1">
      <alignment horizontal="center" vertical="center"/>
    </xf>
    <xf numFmtId="0" fontId="10" fillId="0" borderId="35" xfId="0" applyFont="1" applyBorder="1" applyAlignment="1">
      <alignment vertical="center" wrapText="1"/>
    </xf>
    <xf numFmtId="0" fontId="8" fillId="3" borderId="0" xfId="0" applyFont="1" applyFill="1" applyAlignment="1"/>
    <xf numFmtId="0" fontId="3" fillId="3" borderId="0" xfId="0" applyFont="1" applyFill="1" applyAlignment="1"/>
    <xf numFmtId="0" fontId="3" fillId="3" borderId="40" xfId="0" applyFont="1" applyFill="1" applyBorder="1" applyAlignment="1"/>
    <xf numFmtId="0" fontId="3" fillId="3" borderId="0" xfId="0" applyFont="1" applyFill="1" applyBorder="1" applyAlignment="1"/>
    <xf numFmtId="0" fontId="3" fillId="3" borderId="41" xfId="0" applyFont="1" applyFill="1" applyBorder="1" applyAlignment="1"/>
    <xf numFmtId="0" fontId="3" fillId="3" borderId="42" xfId="0" applyFont="1" applyFill="1" applyBorder="1" applyAlignment="1"/>
    <xf numFmtId="0" fontId="3" fillId="3" borderId="43" xfId="0" applyFont="1" applyFill="1" applyBorder="1" applyAlignment="1"/>
    <xf numFmtId="0" fontId="3" fillId="3" borderId="44" xfId="0" applyFont="1" applyFill="1" applyBorder="1" applyAlignment="1"/>
    <xf numFmtId="0" fontId="3" fillId="3" borderId="24" xfId="0" applyFont="1" applyFill="1" applyBorder="1" applyAlignment="1">
      <alignment horizontal="center"/>
    </xf>
    <xf numFmtId="0" fontId="3" fillId="3" borderId="19" xfId="0" applyFont="1" applyFill="1" applyBorder="1" applyAlignment="1"/>
    <xf numFmtId="0" fontId="3" fillId="3" borderId="24" xfId="0" applyFont="1" applyFill="1" applyBorder="1" applyAlignment="1"/>
    <xf numFmtId="0" fontId="3" fillId="3" borderId="20" xfId="0" applyFont="1" applyFill="1" applyBorder="1" applyAlignment="1"/>
    <xf numFmtId="0" fontId="16" fillId="0" borderId="45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52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53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43" fontId="5" fillId="3" borderId="40" xfId="1" applyFont="1" applyFill="1" applyBorder="1" applyAlignment="1">
      <alignment horizontal="center" vertical="center"/>
    </xf>
    <xf numFmtId="43" fontId="5" fillId="3" borderId="0" xfId="1" applyFont="1" applyFill="1" applyBorder="1" applyAlignment="1">
      <alignment horizontal="center" vertical="center"/>
    </xf>
    <xf numFmtId="43" fontId="5" fillId="3" borderId="41" xfId="1" applyFont="1" applyFill="1" applyBorder="1" applyAlignment="1">
      <alignment horizontal="center" vertical="center"/>
    </xf>
    <xf numFmtId="43" fontId="5" fillId="3" borderId="40" xfId="1" applyFont="1" applyFill="1" applyBorder="1" applyAlignment="1">
      <alignment vertical="center"/>
    </xf>
    <xf numFmtId="43" fontId="5" fillId="3" borderId="0" xfId="1" applyFont="1" applyFill="1" applyBorder="1" applyAlignment="1">
      <alignment vertical="center"/>
    </xf>
    <xf numFmtId="43" fontId="5" fillId="3" borderId="41" xfId="1" applyFont="1" applyFill="1" applyBorder="1" applyAlignment="1">
      <alignment vertical="center"/>
    </xf>
    <xf numFmtId="43" fontId="4" fillId="3" borderId="19" xfId="1" applyFont="1" applyFill="1" applyBorder="1" applyAlignment="1">
      <alignment horizontal="center" vertical="center" wrapText="1"/>
    </xf>
    <xf numFmtId="43" fontId="4" fillId="3" borderId="24" xfId="1" applyFont="1" applyFill="1" applyBorder="1" applyAlignment="1">
      <alignment horizontal="center" vertical="center" wrapText="1"/>
    </xf>
    <xf numFmtId="43" fontId="4" fillId="3" borderId="20" xfId="1" applyFont="1" applyFill="1" applyBorder="1" applyAlignment="1">
      <alignment horizontal="center" vertical="center" wrapText="1"/>
    </xf>
    <xf numFmtId="43" fontId="4" fillId="3" borderId="24" xfId="1" applyFont="1" applyFill="1" applyBorder="1" applyAlignment="1">
      <alignment vertical="center" wrapText="1"/>
    </xf>
    <xf numFmtId="43" fontId="5" fillId="3" borderId="24" xfId="1" applyFont="1" applyFill="1" applyBorder="1" applyAlignment="1">
      <alignment vertical="center"/>
    </xf>
    <xf numFmtId="43" fontId="4" fillId="3" borderId="24" xfId="1" applyFont="1" applyFill="1" applyBorder="1" applyAlignment="1">
      <alignment vertical="center"/>
    </xf>
    <xf numFmtId="0" fontId="8" fillId="3" borderId="13" xfId="0" applyFont="1" applyFill="1" applyBorder="1" applyAlignment="1"/>
    <xf numFmtId="0" fontId="8" fillId="3" borderId="19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10" fillId="0" borderId="33" xfId="0" applyFont="1" applyBorder="1" applyAlignment="1">
      <alignment horizontal="justify" vertical="center" wrapText="1"/>
    </xf>
    <xf numFmtId="0" fontId="17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justify" vertical="center" wrapText="1"/>
    </xf>
    <xf numFmtId="0" fontId="17" fillId="0" borderId="36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justify" vertical="center" wrapText="1"/>
    </xf>
    <xf numFmtId="0" fontId="19" fillId="0" borderId="54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justify" vertical="center" wrapText="1"/>
    </xf>
    <xf numFmtId="0" fontId="19" fillId="0" borderId="38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justify" vertical="center" wrapText="1"/>
    </xf>
    <xf numFmtId="0" fontId="20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justify" vertical="center" wrapText="1"/>
    </xf>
    <xf numFmtId="0" fontId="19" fillId="0" borderId="39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center" vertical="center" wrapText="1"/>
    </xf>
    <xf numFmtId="0" fontId="3" fillId="3" borderId="56" xfId="0" applyFont="1" applyFill="1" applyBorder="1" applyAlignment="1"/>
    <xf numFmtId="0" fontId="3" fillId="3" borderId="56" xfId="0" applyFont="1" applyFill="1" applyBorder="1"/>
    <xf numFmtId="0" fontId="3" fillId="3" borderId="55" xfId="0" applyFont="1" applyFill="1" applyBorder="1"/>
    <xf numFmtId="0" fontId="3" fillId="3" borderId="57" xfId="0" applyFont="1" applyFill="1" applyBorder="1"/>
    <xf numFmtId="0" fontId="3" fillId="3" borderId="57" xfId="0" applyFont="1" applyFill="1" applyBorder="1" applyAlignment="1"/>
    <xf numFmtId="0" fontId="3" fillId="3" borderId="43" xfId="0" applyFont="1" applyFill="1" applyBorder="1"/>
    <xf numFmtId="43" fontId="4" fillId="3" borderId="58" xfId="1" applyFont="1" applyFill="1" applyBorder="1" applyAlignment="1">
      <alignment horizontal="center" vertical="center"/>
    </xf>
    <xf numFmtId="43" fontId="4" fillId="3" borderId="59" xfId="1" applyFont="1" applyFill="1" applyBorder="1" applyAlignment="1">
      <alignment horizontal="center" vertical="center"/>
    </xf>
    <xf numFmtId="0" fontId="3" fillId="3" borderId="60" xfId="0" applyFont="1" applyFill="1" applyBorder="1"/>
    <xf numFmtId="0" fontId="3" fillId="3" borderId="61" xfId="0" applyFont="1" applyFill="1" applyBorder="1"/>
    <xf numFmtId="0" fontId="3" fillId="3" borderId="62" xfId="0" applyFont="1" applyFill="1" applyBorder="1"/>
    <xf numFmtId="0" fontId="3" fillId="3" borderId="63" xfId="0" applyFont="1" applyFill="1" applyBorder="1"/>
    <xf numFmtId="0" fontId="3" fillId="3" borderId="64" xfId="0" applyFont="1" applyFill="1" applyBorder="1"/>
    <xf numFmtId="43" fontId="4" fillId="2" borderId="65" xfId="1" applyFont="1" applyFill="1" applyBorder="1" applyAlignment="1">
      <alignment horizontal="center" vertical="center"/>
    </xf>
    <xf numFmtId="0" fontId="3" fillId="4" borderId="24" xfId="0" applyFont="1" applyFill="1" applyBorder="1" applyAlignment="1"/>
    <xf numFmtId="0" fontId="3" fillId="3" borderId="37" xfId="0" applyFont="1" applyFill="1" applyBorder="1"/>
    <xf numFmtId="0" fontId="3" fillId="3" borderId="66" xfId="0" applyFont="1" applyFill="1" applyBorder="1"/>
    <xf numFmtId="14" fontId="4" fillId="3" borderId="68" xfId="0" applyNumberFormat="1" applyFont="1" applyFill="1" applyBorder="1" applyAlignment="1">
      <alignment horizontal="center" vertical="center"/>
    </xf>
    <xf numFmtId="43" fontId="5" fillId="3" borderId="68" xfId="1" applyFont="1" applyFill="1" applyBorder="1" applyAlignment="1">
      <alignment horizontal="center" vertical="center"/>
    </xf>
    <xf numFmtId="43" fontId="4" fillId="3" borderId="68" xfId="1" applyFont="1" applyFill="1" applyBorder="1" applyAlignment="1">
      <alignment horizontal="center" vertical="center"/>
    </xf>
    <xf numFmtId="43" fontId="4" fillId="2" borderId="67" xfId="1" applyFont="1" applyFill="1" applyBorder="1" applyAlignment="1">
      <alignment horizontal="center" vertical="center"/>
    </xf>
    <xf numFmtId="0" fontId="3" fillId="3" borderId="70" xfId="0" applyFont="1" applyFill="1" applyBorder="1"/>
    <xf numFmtId="43" fontId="5" fillId="3" borderId="57" xfId="1" applyFont="1" applyFill="1" applyBorder="1" applyAlignment="1">
      <alignment vertical="center"/>
    </xf>
    <xf numFmtId="0" fontId="3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7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EE74-CC76-4FC1-9A9D-75F63FC9994E}">
  <sheetPr>
    <tabColor rgb="FF7030A0"/>
  </sheetPr>
  <dimension ref="A2:P601"/>
  <sheetViews>
    <sheetView tabSelected="1" view="pageBreakPreview" topLeftCell="A286" zoomScale="70" zoomScaleNormal="100" zoomScaleSheetLayoutView="70" workbookViewId="0">
      <selection activeCell="J308" sqref="J308"/>
    </sheetView>
  </sheetViews>
  <sheetFormatPr defaultRowHeight="14.4" x14ac:dyDescent="0.3"/>
  <cols>
    <col min="1" max="1" width="8.109375" style="23" bestFit="1" customWidth="1"/>
    <col min="2" max="2" width="60.21875" customWidth="1"/>
    <col min="3" max="3" width="25.33203125" customWidth="1"/>
    <col min="4" max="4" width="25" customWidth="1"/>
    <col min="5" max="5" width="22.21875" customWidth="1"/>
    <col min="6" max="6" width="22.109375" bestFit="1" customWidth="1"/>
    <col min="7" max="8" width="17.44140625" customWidth="1"/>
    <col min="9" max="10" width="16.44140625" customWidth="1"/>
    <col min="11" max="11" width="20.33203125" customWidth="1"/>
    <col min="12" max="12" width="16.6640625" customWidth="1"/>
    <col min="13" max="13" width="18.6640625" customWidth="1"/>
    <col min="14" max="14" width="25.5546875" customWidth="1"/>
    <col min="15" max="15" width="13.88671875" customWidth="1"/>
    <col min="16" max="16" width="23.44140625" customWidth="1"/>
  </cols>
  <sheetData>
    <row r="2" spans="1:16" ht="25.8" x14ac:dyDescent="0.5">
      <c r="E2" s="132" t="s">
        <v>289</v>
      </c>
      <c r="F2" s="132"/>
      <c r="G2" s="132"/>
      <c r="H2" s="132"/>
      <c r="I2" s="132"/>
      <c r="J2" s="132"/>
      <c r="K2" s="132"/>
      <c r="L2" s="132"/>
      <c r="M2" s="132"/>
    </row>
    <row r="3" spans="1:16" ht="15" thickBot="1" x14ac:dyDescent="0.35"/>
    <row r="4" spans="1:16" s="14" customFormat="1" ht="58.8" customHeight="1" x14ac:dyDescent="0.3">
      <c r="A4" s="111" t="s">
        <v>0</v>
      </c>
      <c r="B4" s="112" t="s">
        <v>1</v>
      </c>
      <c r="C4" s="113" t="s">
        <v>17</v>
      </c>
      <c r="D4" s="113" t="s">
        <v>18</v>
      </c>
      <c r="E4" s="123" t="s">
        <v>19</v>
      </c>
      <c r="F4" s="124" t="s">
        <v>288</v>
      </c>
      <c r="G4" s="125" t="s">
        <v>361</v>
      </c>
      <c r="H4" s="125" t="s">
        <v>362</v>
      </c>
      <c r="I4" s="126" t="s">
        <v>16</v>
      </c>
      <c r="J4" s="114" t="s">
        <v>57</v>
      </c>
      <c r="K4" s="114" t="s">
        <v>281</v>
      </c>
      <c r="L4" s="114" t="s">
        <v>54</v>
      </c>
      <c r="M4" s="114" t="s">
        <v>55</v>
      </c>
      <c r="N4" s="114"/>
      <c r="O4" s="115"/>
      <c r="P4" s="116"/>
    </row>
    <row r="5" spans="1:16" ht="15" thickBot="1" x14ac:dyDescent="0.35">
      <c r="A5" s="98">
        <v>1</v>
      </c>
      <c r="B5" s="99">
        <v>2</v>
      </c>
      <c r="C5" s="100">
        <v>3</v>
      </c>
      <c r="D5" s="100">
        <v>4</v>
      </c>
      <c r="E5" s="100">
        <v>5</v>
      </c>
      <c r="F5" s="99">
        <v>6</v>
      </c>
      <c r="G5" s="98">
        <v>7</v>
      </c>
      <c r="H5" s="100"/>
      <c r="I5" s="99">
        <v>8</v>
      </c>
      <c r="J5" s="101">
        <v>9</v>
      </c>
      <c r="K5" s="98">
        <v>10</v>
      </c>
      <c r="L5" s="99">
        <v>11</v>
      </c>
      <c r="M5" s="98">
        <v>12</v>
      </c>
      <c r="N5" s="102">
        <v>13</v>
      </c>
      <c r="O5" s="102">
        <v>14</v>
      </c>
      <c r="P5" s="103">
        <v>15</v>
      </c>
    </row>
    <row r="6" spans="1:16" s="1" customFormat="1" ht="78.599999999999994" customHeight="1" x14ac:dyDescent="0.3">
      <c r="A6" s="20">
        <v>1</v>
      </c>
      <c r="B6" s="16" t="s">
        <v>21</v>
      </c>
      <c r="C6" s="87" t="s">
        <v>20</v>
      </c>
      <c r="D6" s="49">
        <v>46095</v>
      </c>
      <c r="E6" s="49">
        <v>46459</v>
      </c>
      <c r="F6" s="26">
        <v>6550</v>
      </c>
      <c r="G6" s="120">
        <v>1790.3689999999999</v>
      </c>
      <c r="H6" s="76">
        <v>489</v>
      </c>
      <c r="I6" s="26">
        <f>F6-G6-H6</f>
        <v>4270.6310000000003</v>
      </c>
      <c r="J6" s="26" t="s">
        <v>58</v>
      </c>
      <c r="K6" s="50" t="s">
        <v>56</v>
      </c>
      <c r="L6" s="50" t="s">
        <v>56</v>
      </c>
      <c r="M6" s="50" t="s">
        <v>56</v>
      </c>
      <c r="N6" s="50"/>
      <c r="O6" s="50"/>
      <c r="P6" s="51"/>
    </row>
    <row r="7" spans="1:16" s="1" customFormat="1" ht="93.6" customHeight="1" x14ac:dyDescent="0.3">
      <c r="A7" s="21">
        <v>2</v>
      </c>
      <c r="B7" s="12" t="s">
        <v>22</v>
      </c>
      <c r="C7" s="88" t="s">
        <v>23</v>
      </c>
      <c r="D7" s="49">
        <v>46095</v>
      </c>
      <c r="E7" s="49">
        <v>46459</v>
      </c>
      <c r="F7" s="26">
        <v>4470</v>
      </c>
      <c r="G7" s="120"/>
      <c r="H7" s="76"/>
      <c r="I7" s="26">
        <f>F7-G7-H7</f>
        <v>4470</v>
      </c>
      <c r="J7" s="26" t="s">
        <v>58</v>
      </c>
      <c r="K7" s="50" t="s">
        <v>56</v>
      </c>
      <c r="L7" s="50" t="s">
        <v>56</v>
      </c>
      <c r="M7" s="50" t="s">
        <v>56</v>
      </c>
      <c r="N7" s="50"/>
      <c r="O7" s="50"/>
      <c r="P7" s="51"/>
    </row>
    <row r="8" spans="1:16" s="13" customFormat="1" ht="58.8" customHeight="1" x14ac:dyDescent="0.3">
      <c r="A8" s="21">
        <v>3</v>
      </c>
      <c r="B8" s="3" t="s">
        <v>13</v>
      </c>
      <c r="C8" s="88" t="s">
        <v>24</v>
      </c>
      <c r="D8" s="49">
        <v>46095</v>
      </c>
      <c r="E8" s="49">
        <v>46459</v>
      </c>
      <c r="F8" s="26">
        <v>524</v>
      </c>
      <c r="G8" s="120"/>
      <c r="H8" s="76"/>
      <c r="I8" s="26">
        <f>F8-G8-H8</f>
        <v>524</v>
      </c>
      <c r="J8" s="26" t="s">
        <v>58</v>
      </c>
      <c r="K8" s="50" t="s">
        <v>56</v>
      </c>
      <c r="L8" s="50" t="s">
        <v>56</v>
      </c>
      <c r="M8" s="50" t="s">
        <v>56</v>
      </c>
      <c r="N8" s="50"/>
      <c r="O8" s="50"/>
      <c r="P8" s="51"/>
    </row>
    <row r="9" spans="1:16" s="1" customFormat="1" ht="15.6" x14ac:dyDescent="0.3">
      <c r="A9" s="21">
        <v>4</v>
      </c>
      <c r="B9" s="2" t="s">
        <v>2</v>
      </c>
      <c r="C9" s="89" t="s">
        <v>25</v>
      </c>
      <c r="D9" s="49">
        <v>46095</v>
      </c>
      <c r="E9" s="49">
        <v>46459</v>
      </c>
      <c r="F9" s="90">
        <v>130</v>
      </c>
      <c r="G9" s="121"/>
      <c r="H9" s="91"/>
      <c r="I9" s="26">
        <f t="shared" ref="I9:I31" si="0">F9-G9-H9</f>
        <v>130</v>
      </c>
      <c r="J9" s="26" t="s">
        <v>58</v>
      </c>
      <c r="K9" s="50" t="s">
        <v>56</v>
      </c>
      <c r="L9" s="50" t="s">
        <v>56</v>
      </c>
      <c r="M9" s="50" t="s">
        <v>56</v>
      </c>
      <c r="N9" s="52"/>
      <c r="O9" s="52"/>
      <c r="P9" s="53"/>
    </row>
    <row r="10" spans="1:16" s="1" customFormat="1" ht="93.6" x14ac:dyDescent="0.3">
      <c r="A10" s="21">
        <v>5</v>
      </c>
      <c r="B10" s="12" t="s">
        <v>282</v>
      </c>
      <c r="C10" s="88" t="s">
        <v>283</v>
      </c>
      <c r="D10" s="49">
        <v>46095</v>
      </c>
      <c r="E10" s="49">
        <v>46459</v>
      </c>
      <c r="F10" s="26">
        <v>130</v>
      </c>
      <c r="G10" s="120"/>
      <c r="H10" s="76"/>
      <c r="I10" s="26">
        <f t="shared" si="0"/>
        <v>130</v>
      </c>
      <c r="J10" s="26" t="s">
        <v>58</v>
      </c>
      <c r="K10" s="50" t="s">
        <v>56</v>
      </c>
      <c r="L10" s="50" t="s">
        <v>56</v>
      </c>
      <c r="M10" s="50" t="s">
        <v>56</v>
      </c>
      <c r="N10" s="52"/>
      <c r="O10" s="52"/>
      <c r="P10" s="53"/>
    </row>
    <row r="11" spans="1:16" s="1" customFormat="1" ht="31.2" x14ac:dyDescent="0.3">
      <c r="A11" s="117">
        <v>6</v>
      </c>
      <c r="B11" s="2" t="s">
        <v>3</v>
      </c>
      <c r="C11" s="118" t="s">
        <v>284</v>
      </c>
      <c r="D11" s="119">
        <v>46095</v>
      </c>
      <c r="E11" s="119">
        <v>46459</v>
      </c>
      <c r="F11" s="90">
        <v>35</v>
      </c>
      <c r="G11" s="121"/>
      <c r="H11" s="91"/>
      <c r="I11" s="26">
        <f t="shared" si="0"/>
        <v>35</v>
      </c>
      <c r="J11" s="90" t="s">
        <v>58</v>
      </c>
      <c r="K11" s="52" t="s">
        <v>56</v>
      </c>
      <c r="L11" s="52" t="s">
        <v>56</v>
      </c>
      <c r="M11" s="52" t="s">
        <v>56</v>
      </c>
      <c r="N11" s="52"/>
      <c r="O11" s="52"/>
      <c r="P11" s="53"/>
    </row>
    <row r="12" spans="1:16" s="1" customFormat="1" ht="31.2" x14ac:dyDescent="0.3">
      <c r="A12" s="21">
        <v>7</v>
      </c>
      <c r="B12" s="2" t="s">
        <v>4</v>
      </c>
      <c r="C12" s="88" t="s">
        <v>285</v>
      </c>
      <c r="D12" s="49">
        <v>46095</v>
      </c>
      <c r="E12" s="49">
        <v>46459</v>
      </c>
      <c r="F12" s="90">
        <v>8.35</v>
      </c>
      <c r="G12" s="121"/>
      <c r="H12" s="91"/>
      <c r="I12" s="26">
        <f t="shared" si="0"/>
        <v>8.35</v>
      </c>
      <c r="J12" s="26" t="s">
        <v>58</v>
      </c>
      <c r="K12" s="50" t="s">
        <v>56</v>
      </c>
      <c r="L12" s="50" t="s">
        <v>56</v>
      </c>
      <c r="M12" s="50" t="s">
        <v>56</v>
      </c>
      <c r="N12" s="52"/>
      <c r="O12" s="52"/>
      <c r="P12" s="53"/>
    </row>
    <row r="13" spans="1:16" s="1" customFormat="1" ht="15.6" x14ac:dyDescent="0.3">
      <c r="A13" s="21">
        <v>8</v>
      </c>
      <c r="B13" s="2" t="s">
        <v>26</v>
      </c>
      <c r="C13" s="88" t="s">
        <v>27</v>
      </c>
      <c r="D13" s="49">
        <v>46095</v>
      </c>
      <c r="E13" s="49">
        <v>46459</v>
      </c>
      <c r="F13" s="90">
        <v>0</v>
      </c>
      <c r="G13" s="121"/>
      <c r="H13" s="91"/>
      <c r="I13" s="26">
        <f t="shared" si="0"/>
        <v>0</v>
      </c>
      <c r="J13" s="26" t="s">
        <v>58</v>
      </c>
      <c r="K13" s="50" t="s">
        <v>56</v>
      </c>
      <c r="L13" s="50" t="s">
        <v>56</v>
      </c>
      <c r="M13" s="50" t="s">
        <v>56</v>
      </c>
      <c r="N13" s="52"/>
      <c r="O13" s="52"/>
      <c r="P13" s="53"/>
    </row>
    <row r="14" spans="1:16" s="1" customFormat="1" ht="15.6" x14ac:dyDescent="0.3">
      <c r="A14" s="21">
        <v>9</v>
      </c>
      <c r="B14" s="2" t="s">
        <v>6</v>
      </c>
      <c r="C14" s="89" t="s">
        <v>28</v>
      </c>
      <c r="D14" s="49">
        <v>46095</v>
      </c>
      <c r="E14" s="49">
        <v>46459</v>
      </c>
      <c r="F14" s="90">
        <v>0</v>
      </c>
      <c r="G14" s="121"/>
      <c r="H14" s="91"/>
      <c r="I14" s="26">
        <f t="shared" si="0"/>
        <v>0</v>
      </c>
      <c r="J14" s="26" t="s">
        <v>58</v>
      </c>
      <c r="K14" s="50" t="s">
        <v>56</v>
      </c>
      <c r="L14" s="50" t="s">
        <v>56</v>
      </c>
      <c r="M14" s="50" t="s">
        <v>56</v>
      </c>
      <c r="N14" s="52"/>
      <c r="O14" s="52"/>
      <c r="P14" s="53"/>
    </row>
    <row r="15" spans="1:16" s="13" customFormat="1" ht="93.6" x14ac:dyDescent="0.3">
      <c r="A15" s="21">
        <v>10</v>
      </c>
      <c r="B15" s="12" t="s">
        <v>14</v>
      </c>
      <c r="C15" s="88" t="s">
        <v>286</v>
      </c>
      <c r="D15" s="49">
        <v>46095</v>
      </c>
      <c r="E15" s="49">
        <v>46459</v>
      </c>
      <c r="F15" s="26">
        <v>30</v>
      </c>
      <c r="G15" s="120"/>
      <c r="H15" s="76"/>
      <c r="I15" s="26">
        <f t="shared" si="0"/>
        <v>30</v>
      </c>
      <c r="J15" s="26" t="s">
        <v>58</v>
      </c>
      <c r="K15" s="50" t="s">
        <v>56</v>
      </c>
      <c r="L15" s="50" t="s">
        <v>56</v>
      </c>
      <c r="M15" s="50" t="s">
        <v>56</v>
      </c>
      <c r="N15" s="50"/>
      <c r="O15" s="50"/>
      <c r="P15" s="51"/>
    </row>
    <row r="16" spans="1:16" s="1" customFormat="1" ht="15.6" x14ac:dyDescent="0.3">
      <c r="A16" s="21">
        <v>11</v>
      </c>
      <c r="B16" s="2" t="s">
        <v>5</v>
      </c>
      <c r="C16" s="89" t="s">
        <v>29</v>
      </c>
      <c r="D16" s="49">
        <v>46095</v>
      </c>
      <c r="E16" s="49">
        <v>46459</v>
      </c>
      <c r="F16" s="90">
        <v>38</v>
      </c>
      <c r="G16" s="121"/>
      <c r="H16" s="91"/>
      <c r="I16" s="26">
        <f t="shared" si="0"/>
        <v>38</v>
      </c>
      <c r="J16" s="26" t="s">
        <v>58</v>
      </c>
      <c r="K16" s="50" t="s">
        <v>56</v>
      </c>
      <c r="L16" s="50" t="s">
        <v>56</v>
      </c>
      <c r="M16" s="50" t="s">
        <v>56</v>
      </c>
      <c r="N16" s="52"/>
      <c r="O16" s="52"/>
      <c r="P16" s="53"/>
    </row>
    <row r="17" spans="1:16" s="1" customFormat="1" ht="62.4" x14ac:dyDescent="0.3">
      <c r="A17" s="21">
        <v>12</v>
      </c>
      <c r="B17" s="3" t="s">
        <v>15</v>
      </c>
      <c r="C17" s="88" t="s">
        <v>287</v>
      </c>
      <c r="D17" s="49">
        <v>46095</v>
      </c>
      <c r="E17" s="49">
        <v>46459</v>
      </c>
      <c r="F17" s="26">
        <v>765</v>
      </c>
      <c r="G17" s="120"/>
      <c r="H17" s="76"/>
      <c r="I17" s="26">
        <f t="shared" si="0"/>
        <v>765</v>
      </c>
      <c r="J17" s="26" t="s">
        <v>58</v>
      </c>
      <c r="K17" s="50" t="s">
        <v>56</v>
      </c>
      <c r="L17" s="50" t="s">
        <v>56</v>
      </c>
      <c r="M17" s="50" t="s">
        <v>56</v>
      </c>
      <c r="N17" s="52"/>
      <c r="O17" s="52"/>
      <c r="P17" s="53"/>
    </row>
    <row r="18" spans="1:16" s="1" customFormat="1" ht="31.2" x14ac:dyDescent="0.3">
      <c r="A18" s="21">
        <v>13</v>
      </c>
      <c r="B18" s="3" t="s">
        <v>7</v>
      </c>
      <c r="C18" s="88" t="s">
        <v>30</v>
      </c>
      <c r="D18" s="49">
        <v>46095</v>
      </c>
      <c r="E18" s="49">
        <v>46459</v>
      </c>
      <c r="F18" s="90">
        <v>0.14499999999999999</v>
      </c>
      <c r="G18" s="121"/>
      <c r="H18" s="91"/>
      <c r="I18" s="26">
        <f t="shared" si="0"/>
        <v>0.14499999999999999</v>
      </c>
      <c r="J18" s="26" t="s">
        <v>58</v>
      </c>
      <c r="K18" s="50" t="s">
        <v>56</v>
      </c>
      <c r="L18" s="50" t="s">
        <v>56</v>
      </c>
      <c r="M18" s="50" t="s">
        <v>56</v>
      </c>
      <c r="N18" s="52"/>
      <c r="O18" s="52"/>
      <c r="P18" s="53"/>
    </row>
    <row r="19" spans="1:16" s="1" customFormat="1" ht="15.6" x14ac:dyDescent="0.3">
      <c r="A19" s="21">
        <v>14</v>
      </c>
      <c r="B19" s="2" t="s">
        <v>8</v>
      </c>
      <c r="C19" s="89" t="s">
        <v>31</v>
      </c>
      <c r="D19" s="49">
        <v>46095</v>
      </c>
      <c r="E19" s="49">
        <v>46459</v>
      </c>
      <c r="F19" s="90">
        <v>94</v>
      </c>
      <c r="G19" s="121"/>
      <c r="H19" s="91"/>
      <c r="I19" s="26">
        <f t="shared" si="0"/>
        <v>94</v>
      </c>
      <c r="J19" s="26" t="s">
        <v>58</v>
      </c>
      <c r="K19" s="50" t="s">
        <v>56</v>
      </c>
      <c r="L19" s="50" t="s">
        <v>56</v>
      </c>
      <c r="M19" s="50" t="s">
        <v>56</v>
      </c>
      <c r="N19" s="52"/>
      <c r="O19" s="52"/>
      <c r="P19" s="53"/>
    </row>
    <row r="20" spans="1:16" s="1" customFormat="1" ht="15.6" x14ac:dyDescent="0.3">
      <c r="A20" s="21">
        <v>15</v>
      </c>
      <c r="B20" s="2" t="s">
        <v>32</v>
      </c>
      <c r="C20" s="89" t="s">
        <v>33</v>
      </c>
      <c r="D20" s="49">
        <v>46095</v>
      </c>
      <c r="E20" s="49">
        <v>46459</v>
      </c>
      <c r="F20" s="90">
        <v>0</v>
      </c>
      <c r="G20" s="121"/>
      <c r="H20" s="91"/>
      <c r="I20" s="26">
        <f t="shared" si="0"/>
        <v>0</v>
      </c>
      <c r="J20" s="26" t="s">
        <v>58</v>
      </c>
      <c r="K20" s="50"/>
      <c r="L20" s="50"/>
      <c r="M20" s="50"/>
      <c r="N20" s="52"/>
      <c r="O20" s="52"/>
      <c r="P20" s="53"/>
    </row>
    <row r="21" spans="1:16" s="1" customFormat="1" ht="31.2" x14ac:dyDescent="0.3">
      <c r="A21" s="21">
        <v>16</v>
      </c>
      <c r="B21" s="3" t="s">
        <v>34</v>
      </c>
      <c r="C21" s="88" t="s">
        <v>35</v>
      </c>
      <c r="D21" s="49">
        <v>46095</v>
      </c>
      <c r="E21" s="49">
        <v>46459</v>
      </c>
      <c r="F21" s="90">
        <v>0</v>
      </c>
      <c r="G21" s="121"/>
      <c r="H21" s="91"/>
      <c r="I21" s="26">
        <f t="shared" si="0"/>
        <v>0</v>
      </c>
      <c r="J21" s="26" t="s">
        <v>58</v>
      </c>
      <c r="K21" s="50"/>
      <c r="L21" s="50"/>
      <c r="M21" s="50"/>
      <c r="N21" s="52"/>
      <c r="O21" s="52"/>
      <c r="P21" s="53"/>
    </row>
    <row r="22" spans="1:16" s="1" customFormat="1" ht="62.4" x14ac:dyDescent="0.3">
      <c r="A22" s="21">
        <v>17</v>
      </c>
      <c r="B22" s="12" t="s">
        <v>36</v>
      </c>
      <c r="C22" s="88" t="s">
        <v>37</v>
      </c>
      <c r="D22" s="49">
        <v>46095</v>
      </c>
      <c r="E22" s="49">
        <v>46459</v>
      </c>
      <c r="F22" s="26">
        <v>190</v>
      </c>
      <c r="G22" s="120"/>
      <c r="H22" s="76"/>
      <c r="I22" s="26">
        <f t="shared" si="0"/>
        <v>190</v>
      </c>
      <c r="J22" s="26" t="s">
        <v>58</v>
      </c>
      <c r="K22" s="50" t="s">
        <v>56</v>
      </c>
      <c r="L22" s="50" t="s">
        <v>56</v>
      </c>
      <c r="M22" s="50" t="s">
        <v>56</v>
      </c>
      <c r="N22" s="52"/>
      <c r="O22" s="52"/>
      <c r="P22" s="53"/>
    </row>
    <row r="23" spans="1:16" s="1" customFormat="1" ht="15.6" x14ac:dyDescent="0.3">
      <c r="A23" s="21">
        <v>18</v>
      </c>
      <c r="B23" s="2" t="s">
        <v>9</v>
      </c>
      <c r="C23" s="89" t="s">
        <v>38</v>
      </c>
      <c r="D23" s="49">
        <v>46095</v>
      </c>
      <c r="E23" s="49">
        <v>46459</v>
      </c>
      <c r="F23" s="90">
        <v>7.78</v>
      </c>
      <c r="G23" s="121"/>
      <c r="H23" s="91"/>
      <c r="I23" s="26">
        <f t="shared" si="0"/>
        <v>7.78</v>
      </c>
      <c r="J23" s="26" t="s">
        <v>58</v>
      </c>
      <c r="K23" s="50" t="s">
        <v>56</v>
      </c>
      <c r="L23" s="50" t="s">
        <v>56</v>
      </c>
      <c r="M23" s="50" t="s">
        <v>56</v>
      </c>
      <c r="N23" s="52"/>
      <c r="O23" s="52"/>
      <c r="P23" s="53"/>
    </row>
    <row r="24" spans="1:16" s="1" customFormat="1" ht="15.6" x14ac:dyDescent="0.3">
      <c r="A24" s="21">
        <v>19</v>
      </c>
      <c r="B24" s="2" t="s">
        <v>39</v>
      </c>
      <c r="C24" s="89" t="s">
        <v>40</v>
      </c>
      <c r="D24" s="49">
        <v>46095</v>
      </c>
      <c r="E24" s="49">
        <v>46459</v>
      </c>
      <c r="F24" s="90">
        <v>70</v>
      </c>
      <c r="G24" s="121"/>
      <c r="H24" s="91"/>
      <c r="I24" s="26">
        <f t="shared" si="0"/>
        <v>70</v>
      </c>
      <c r="J24" s="26" t="s">
        <v>58</v>
      </c>
      <c r="K24" s="50" t="s">
        <v>56</v>
      </c>
      <c r="L24" s="50" t="s">
        <v>56</v>
      </c>
      <c r="M24" s="50" t="s">
        <v>56</v>
      </c>
      <c r="N24" s="52"/>
      <c r="O24" s="52"/>
      <c r="P24" s="53"/>
    </row>
    <row r="25" spans="1:16" s="1" customFormat="1" ht="15.6" x14ac:dyDescent="0.3">
      <c r="A25" s="21">
        <v>20</v>
      </c>
      <c r="B25" s="2" t="s">
        <v>10</v>
      </c>
      <c r="C25" s="89" t="s">
        <v>41</v>
      </c>
      <c r="D25" s="49">
        <v>46095</v>
      </c>
      <c r="E25" s="49">
        <v>46459</v>
      </c>
      <c r="F25" s="90">
        <v>0</v>
      </c>
      <c r="G25" s="121"/>
      <c r="H25" s="91"/>
      <c r="I25" s="26">
        <f t="shared" si="0"/>
        <v>0</v>
      </c>
      <c r="J25" s="26" t="s">
        <v>58</v>
      </c>
      <c r="K25" s="50" t="s">
        <v>56</v>
      </c>
      <c r="L25" s="50" t="s">
        <v>56</v>
      </c>
      <c r="M25" s="50" t="s">
        <v>56</v>
      </c>
      <c r="N25" s="52"/>
      <c r="O25" s="52"/>
      <c r="P25" s="53"/>
    </row>
    <row r="26" spans="1:16" s="1" customFormat="1" ht="46.8" x14ac:dyDescent="0.3">
      <c r="A26" s="21">
        <v>21</v>
      </c>
      <c r="B26" s="18" t="s">
        <v>11</v>
      </c>
      <c r="C26" s="92" t="s">
        <v>42</v>
      </c>
      <c r="D26" s="49">
        <v>46095</v>
      </c>
      <c r="E26" s="49">
        <v>46459</v>
      </c>
      <c r="F26" s="26">
        <v>16</v>
      </c>
      <c r="G26" s="120"/>
      <c r="H26" s="76"/>
      <c r="I26" s="26">
        <f t="shared" si="0"/>
        <v>16</v>
      </c>
      <c r="J26" s="26" t="s">
        <v>58</v>
      </c>
      <c r="K26" s="50" t="s">
        <v>56</v>
      </c>
      <c r="L26" s="50" t="s">
        <v>56</v>
      </c>
      <c r="M26" s="50" t="s">
        <v>56</v>
      </c>
      <c r="N26" s="52"/>
      <c r="O26" s="52"/>
      <c r="P26" s="53"/>
    </row>
    <row r="27" spans="1:16" s="1" customFormat="1" ht="15.6" x14ac:dyDescent="0.3">
      <c r="A27" s="21">
        <v>22</v>
      </c>
      <c r="B27" s="2" t="s">
        <v>43</v>
      </c>
      <c r="C27" s="89" t="s">
        <v>44</v>
      </c>
      <c r="D27" s="49">
        <v>46095</v>
      </c>
      <c r="E27" s="49">
        <v>46459</v>
      </c>
      <c r="F27" s="90">
        <v>0</v>
      </c>
      <c r="G27" s="121"/>
      <c r="H27" s="91"/>
      <c r="I27" s="26">
        <f t="shared" si="0"/>
        <v>0</v>
      </c>
      <c r="J27" s="26" t="s">
        <v>58</v>
      </c>
      <c r="K27" s="50"/>
      <c r="L27" s="50"/>
      <c r="M27" s="50"/>
      <c r="N27" s="52"/>
      <c r="O27" s="52"/>
      <c r="P27" s="53"/>
    </row>
    <row r="28" spans="1:16" s="1" customFormat="1" ht="15.6" x14ac:dyDescent="0.3">
      <c r="A28" s="21">
        <v>23</v>
      </c>
      <c r="B28" s="2" t="s">
        <v>45</v>
      </c>
      <c r="C28" s="89" t="s">
        <v>46</v>
      </c>
      <c r="D28" s="49">
        <v>46095</v>
      </c>
      <c r="E28" s="49">
        <v>46459</v>
      </c>
      <c r="F28" s="90">
        <v>0</v>
      </c>
      <c r="G28" s="121"/>
      <c r="H28" s="91"/>
      <c r="I28" s="26">
        <f t="shared" si="0"/>
        <v>0</v>
      </c>
      <c r="J28" s="26" t="s">
        <v>58</v>
      </c>
      <c r="K28" s="50"/>
      <c r="L28" s="50"/>
      <c r="M28" s="50"/>
      <c r="N28" s="52"/>
      <c r="O28" s="52"/>
      <c r="P28" s="53"/>
    </row>
    <row r="29" spans="1:16" s="1" customFormat="1" ht="31.2" x14ac:dyDescent="0.3">
      <c r="A29" s="21">
        <v>24</v>
      </c>
      <c r="B29" s="3" t="s">
        <v>47</v>
      </c>
      <c r="C29" s="88" t="s">
        <v>48</v>
      </c>
      <c r="D29" s="49">
        <v>46095</v>
      </c>
      <c r="E29" s="49">
        <v>46459</v>
      </c>
      <c r="F29" s="90">
        <v>0</v>
      </c>
      <c r="G29" s="121"/>
      <c r="H29" s="91"/>
      <c r="I29" s="26">
        <f t="shared" si="0"/>
        <v>0</v>
      </c>
      <c r="J29" s="26" t="s">
        <v>58</v>
      </c>
      <c r="K29" s="50"/>
      <c r="L29" s="50"/>
      <c r="M29" s="50"/>
      <c r="N29" s="52"/>
      <c r="O29" s="52"/>
      <c r="P29" s="53"/>
    </row>
    <row r="30" spans="1:16" s="1" customFormat="1" ht="31.2" x14ac:dyDescent="0.3">
      <c r="A30" s="21">
        <v>25</v>
      </c>
      <c r="B30" s="3" t="s">
        <v>49</v>
      </c>
      <c r="C30" s="88" t="s">
        <v>50</v>
      </c>
      <c r="D30" s="49">
        <v>46095</v>
      </c>
      <c r="E30" s="49">
        <v>46459</v>
      </c>
      <c r="F30" s="90">
        <v>0</v>
      </c>
      <c r="G30" s="121"/>
      <c r="H30" s="91"/>
      <c r="I30" s="26">
        <f t="shared" si="0"/>
        <v>0</v>
      </c>
      <c r="J30" s="26" t="s">
        <v>58</v>
      </c>
      <c r="K30" s="50"/>
      <c r="L30" s="50"/>
      <c r="M30" s="50"/>
      <c r="N30" s="52"/>
      <c r="O30" s="52"/>
      <c r="P30" s="53"/>
    </row>
    <row r="31" spans="1:16" s="1" customFormat="1" ht="31.8" thickBot="1" x14ac:dyDescent="0.35">
      <c r="A31" s="21">
        <v>26</v>
      </c>
      <c r="B31" s="3" t="s">
        <v>51</v>
      </c>
      <c r="C31" s="88" t="s">
        <v>52</v>
      </c>
      <c r="D31" s="49">
        <v>46095</v>
      </c>
      <c r="E31" s="49">
        <v>46459</v>
      </c>
      <c r="F31" s="90">
        <v>0</v>
      </c>
      <c r="G31" s="121"/>
      <c r="H31" s="91"/>
      <c r="I31" s="26">
        <f t="shared" si="0"/>
        <v>0</v>
      </c>
      <c r="J31" s="26" t="s">
        <v>58</v>
      </c>
      <c r="K31" s="50"/>
      <c r="L31" s="50"/>
      <c r="M31" s="50"/>
      <c r="N31" s="52"/>
      <c r="O31" s="52"/>
      <c r="P31" s="53"/>
    </row>
    <row r="32" spans="1:16" s="1" customFormat="1" ht="15.6" x14ac:dyDescent="0.3">
      <c r="A32" s="21"/>
      <c r="B32" s="17" t="s">
        <v>12</v>
      </c>
      <c r="C32" s="8"/>
      <c r="D32" s="93"/>
      <c r="E32" s="93"/>
      <c r="F32" s="94">
        <f>SUM(F6:F31)</f>
        <v>13058.275000000001</v>
      </c>
      <c r="G32" s="122"/>
      <c r="H32" s="95"/>
      <c r="I32" s="96">
        <f>SUM(I6:I26)</f>
        <v>10778.906000000003</v>
      </c>
      <c r="J32" s="96"/>
      <c r="K32" s="96">
        <f t="shared" ref="K32:P32" si="1">SUM(K6:K26)</f>
        <v>0</v>
      </c>
      <c r="L32" s="96">
        <f t="shared" si="1"/>
        <v>0</v>
      </c>
      <c r="M32" s="96">
        <f t="shared" si="1"/>
        <v>0</v>
      </c>
      <c r="N32" s="96">
        <f t="shared" si="1"/>
        <v>0</v>
      </c>
      <c r="O32" s="96">
        <f t="shared" si="1"/>
        <v>0</v>
      </c>
      <c r="P32" s="97">
        <f t="shared" si="1"/>
        <v>0</v>
      </c>
    </row>
    <row r="33" spans="1:16" s="1" customFormat="1" x14ac:dyDescent="0.3">
      <c r="A33" s="22"/>
    </row>
    <row r="34" spans="1:16" s="1" customFormat="1" ht="25.8" x14ac:dyDescent="0.5">
      <c r="A34" s="22"/>
      <c r="D34" s="132" t="s">
        <v>290</v>
      </c>
      <c r="E34" s="132"/>
      <c r="F34" s="132"/>
      <c r="G34" s="132"/>
      <c r="H34" s="132"/>
      <c r="I34" s="132"/>
      <c r="J34" s="132"/>
      <c r="K34" s="132"/>
      <c r="L34" s="132"/>
    </row>
    <row r="35" spans="1:16" s="1" customFormat="1" ht="15" thickBot="1" x14ac:dyDescent="0.35">
      <c r="A35" s="22"/>
    </row>
    <row r="36" spans="1:16" s="110" customFormat="1" ht="58.8" customHeight="1" x14ac:dyDescent="0.3">
      <c r="A36" s="104" t="s">
        <v>0</v>
      </c>
      <c r="B36" s="105" t="s">
        <v>1</v>
      </c>
      <c r="C36" s="106" t="s">
        <v>17</v>
      </c>
      <c r="D36" s="106" t="s">
        <v>18</v>
      </c>
      <c r="E36" s="106" t="s">
        <v>19</v>
      </c>
      <c r="F36" s="107" t="s">
        <v>292</v>
      </c>
      <c r="G36" s="107" t="s">
        <v>359</v>
      </c>
      <c r="H36" s="114" t="s">
        <v>360</v>
      </c>
      <c r="I36" s="107" t="s">
        <v>358</v>
      </c>
      <c r="J36" s="107" t="s">
        <v>57</v>
      </c>
      <c r="K36" s="107" t="s">
        <v>53</v>
      </c>
      <c r="L36" s="107" t="s">
        <v>54</v>
      </c>
      <c r="M36" s="107" t="s">
        <v>363</v>
      </c>
      <c r="N36" s="107"/>
      <c r="O36" s="108"/>
      <c r="P36" s="109"/>
    </row>
    <row r="37" spans="1:16" x14ac:dyDescent="0.3">
      <c r="A37" s="4">
        <v>1</v>
      </c>
      <c r="B37" s="5">
        <v>2</v>
      </c>
      <c r="C37" s="15">
        <v>3</v>
      </c>
      <c r="D37" s="15">
        <v>4</v>
      </c>
      <c r="E37" s="15">
        <v>5</v>
      </c>
      <c r="F37" s="5">
        <v>6</v>
      </c>
      <c r="G37" s="4">
        <v>7</v>
      </c>
      <c r="H37" s="15"/>
      <c r="I37" s="5">
        <v>8</v>
      </c>
      <c r="J37" s="24">
        <v>9</v>
      </c>
      <c r="K37" s="4">
        <v>10</v>
      </c>
      <c r="L37" s="5">
        <v>11</v>
      </c>
      <c r="M37" s="4">
        <v>12</v>
      </c>
      <c r="N37" s="6">
        <v>13</v>
      </c>
      <c r="O37" s="6">
        <v>14</v>
      </c>
      <c r="P37" s="7">
        <v>15</v>
      </c>
    </row>
    <row r="38" spans="1:16" s="1" customFormat="1" ht="16.2" customHeight="1" x14ac:dyDescent="0.3">
      <c r="A38" s="38" t="s">
        <v>61</v>
      </c>
      <c r="B38" s="55" t="s">
        <v>165</v>
      </c>
      <c r="C38" s="37"/>
      <c r="D38" s="49"/>
      <c r="E38" s="49"/>
      <c r="F38" s="85"/>
      <c r="G38" s="85"/>
      <c r="H38" s="85"/>
      <c r="I38" s="85"/>
      <c r="J38" s="26"/>
      <c r="K38" s="50"/>
      <c r="L38" s="50"/>
      <c r="M38" s="50"/>
      <c r="N38" s="50"/>
      <c r="O38" s="50"/>
      <c r="P38" s="51"/>
    </row>
    <row r="39" spans="1:16" s="1" customFormat="1" ht="15.6" x14ac:dyDescent="0.3">
      <c r="A39" s="31">
        <v>1</v>
      </c>
      <c r="B39" s="28" t="s">
        <v>143</v>
      </c>
      <c r="C39" s="66" t="s">
        <v>144</v>
      </c>
      <c r="D39" s="56">
        <v>46179</v>
      </c>
      <c r="E39" s="56">
        <v>46543</v>
      </c>
      <c r="F39" s="19">
        <v>285</v>
      </c>
      <c r="G39" s="70">
        <v>32</v>
      </c>
      <c r="H39" s="70"/>
      <c r="I39" s="19">
        <f>F39-G39-H39</f>
        <v>253</v>
      </c>
      <c r="J39" s="19" t="s">
        <v>59</v>
      </c>
      <c r="K39" s="71" t="s">
        <v>56</v>
      </c>
      <c r="L39" s="71" t="s">
        <v>56</v>
      </c>
      <c r="M39" s="72"/>
      <c r="N39" s="73"/>
      <c r="O39" s="73"/>
      <c r="P39" s="73"/>
    </row>
    <row r="40" spans="1:16" s="1" customFormat="1" ht="15.6" x14ac:dyDescent="0.3">
      <c r="A40" s="31">
        <v>2</v>
      </c>
      <c r="B40" s="28" t="s">
        <v>145</v>
      </c>
      <c r="C40" s="68" t="s">
        <v>146</v>
      </c>
      <c r="D40" s="69"/>
      <c r="E40" s="69"/>
      <c r="F40" s="19"/>
      <c r="G40" s="70"/>
      <c r="H40" s="70"/>
      <c r="I40" s="19"/>
      <c r="J40" s="19"/>
      <c r="K40" s="71"/>
      <c r="L40" s="71"/>
      <c r="M40" s="72"/>
      <c r="N40" s="73"/>
      <c r="O40" s="73"/>
      <c r="P40" s="73"/>
    </row>
    <row r="41" spans="1:16" s="1" customFormat="1" ht="15.6" x14ac:dyDescent="0.3">
      <c r="A41" s="31">
        <v>3</v>
      </c>
      <c r="B41" s="28" t="s">
        <v>147</v>
      </c>
      <c r="C41" s="68" t="s">
        <v>148</v>
      </c>
      <c r="D41" s="69"/>
      <c r="E41" s="69"/>
      <c r="F41" s="19"/>
      <c r="G41" s="70"/>
      <c r="H41" s="70"/>
      <c r="I41" s="19"/>
      <c r="J41" s="19"/>
      <c r="K41" s="71"/>
      <c r="L41" s="71"/>
      <c r="M41" s="72"/>
      <c r="N41" s="73"/>
      <c r="O41" s="73"/>
      <c r="P41" s="73"/>
    </row>
    <row r="42" spans="1:16" s="1" customFormat="1" ht="15.6" x14ac:dyDescent="0.3">
      <c r="A42" s="31">
        <v>4</v>
      </c>
      <c r="B42" s="28" t="s">
        <v>149</v>
      </c>
      <c r="C42" s="68" t="s">
        <v>150</v>
      </c>
      <c r="D42" s="69"/>
      <c r="E42" s="69"/>
      <c r="F42" s="19"/>
      <c r="G42" s="70"/>
      <c r="H42" s="70"/>
      <c r="I42" s="19"/>
      <c r="J42" s="19"/>
      <c r="K42" s="71"/>
      <c r="L42" s="71"/>
      <c r="M42" s="72"/>
      <c r="N42" s="73"/>
      <c r="O42" s="73"/>
      <c r="P42" s="73"/>
    </row>
    <row r="43" spans="1:16" s="1" customFormat="1" ht="15.6" x14ac:dyDescent="0.3">
      <c r="A43" s="31">
        <v>5</v>
      </c>
      <c r="B43" s="28" t="s">
        <v>151</v>
      </c>
      <c r="C43" s="68" t="s">
        <v>152</v>
      </c>
      <c r="D43" s="69"/>
      <c r="E43" s="69"/>
      <c r="F43" s="19"/>
      <c r="G43" s="70"/>
      <c r="H43" s="70"/>
      <c r="I43" s="19"/>
      <c r="J43" s="19"/>
      <c r="K43" s="71"/>
      <c r="L43" s="71"/>
      <c r="M43" s="72"/>
      <c r="N43" s="73"/>
      <c r="O43" s="73"/>
      <c r="P43" s="73"/>
    </row>
    <row r="44" spans="1:16" s="1" customFormat="1" ht="15.6" x14ac:dyDescent="0.3">
      <c r="A44" s="31">
        <v>6</v>
      </c>
      <c r="B44" s="28" t="s">
        <v>153</v>
      </c>
      <c r="C44" s="68" t="s">
        <v>154</v>
      </c>
      <c r="D44" s="69"/>
      <c r="E44" s="69"/>
      <c r="F44" s="19"/>
      <c r="G44" s="70"/>
      <c r="H44" s="70"/>
      <c r="I44" s="19"/>
      <c r="J44" s="19"/>
      <c r="K44" s="71"/>
      <c r="L44" s="71"/>
      <c r="M44" s="72"/>
      <c r="N44" s="73"/>
      <c r="O44" s="73"/>
      <c r="P44" s="73"/>
    </row>
    <row r="45" spans="1:16" s="1" customFormat="1" ht="15.6" x14ac:dyDescent="0.3">
      <c r="A45" s="31">
        <v>7</v>
      </c>
      <c r="B45" s="28" t="s">
        <v>155</v>
      </c>
      <c r="C45" s="68" t="s">
        <v>156</v>
      </c>
      <c r="D45" s="69"/>
      <c r="E45" s="69"/>
      <c r="F45" s="19"/>
      <c r="G45" s="70"/>
      <c r="H45" s="70"/>
      <c r="I45" s="19"/>
      <c r="J45" s="19"/>
      <c r="K45" s="71"/>
      <c r="L45" s="71"/>
      <c r="M45" s="72"/>
      <c r="N45" s="73"/>
      <c r="O45" s="73"/>
      <c r="P45" s="73"/>
    </row>
    <row r="46" spans="1:16" s="1" customFormat="1" ht="15.6" x14ac:dyDescent="0.3">
      <c r="A46" s="31">
        <v>8</v>
      </c>
      <c r="B46" s="28" t="s">
        <v>157</v>
      </c>
      <c r="C46" s="68" t="s">
        <v>158</v>
      </c>
      <c r="D46" s="69"/>
      <c r="E46" s="69"/>
      <c r="F46" s="19"/>
      <c r="G46" s="70"/>
      <c r="H46" s="70"/>
      <c r="I46" s="19"/>
      <c r="J46" s="19"/>
      <c r="K46" s="71"/>
      <c r="L46" s="71"/>
      <c r="M46" s="72"/>
      <c r="N46" s="73"/>
      <c r="O46" s="73"/>
      <c r="P46" s="73"/>
    </row>
    <row r="47" spans="1:16" s="1" customFormat="1" ht="15.6" x14ac:dyDescent="0.3">
      <c r="A47" s="31">
        <v>9</v>
      </c>
      <c r="B47" s="28" t="s">
        <v>159</v>
      </c>
      <c r="C47" s="68" t="s">
        <v>160</v>
      </c>
      <c r="D47" s="69"/>
      <c r="E47" s="69"/>
      <c r="F47" s="19"/>
      <c r="G47" s="70"/>
      <c r="H47" s="70"/>
      <c r="I47" s="19"/>
      <c r="J47" s="19"/>
      <c r="K47" s="71"/>
      <c r="L47" s="71"/>
      <c r="M47" s="72"/>
      <c r="N47" s="73"/>
      <c r="O47" s="73"/>
      <c r="P47" s="73"/>
    </row>
    <row r="48" spans="1:16" s="1" customFormat="1" ht="15.6" x14ac:dyDescent="0.3">
      <c r="A48" s="31">
        <v>10</v>
      </c>
      <c r="B48" s="28" t="s">
        <v>161</v>
      </c>
      <c r="C48" s="68" t="s">
        <v>162</v>
      </c>
      <c r="D48" s="69"/>
      <c r="E48" s="69"/>
      <c r="F48" s="19"/>
      <c r="G48" s="70"/>
      <c r="H48" s="70"/>
      <c r="I48" s="19"/>
      <c r="J48" s="19"/>
      <c r="K48" s="71"/>
      <c r="L48" s="71"/>
      <c r="M48" s="72"/>
      <c r="N48" s="73"/>
      <c r="O48" s="73"/>
      <c r="P48" s="73"/>
    </row>
    <row r="49" spans="1:16" s="1" customFormat="1" ht="15.6" x14ac:dyDescent="0.3">
      <c r="A49" s="31">
        <v>11</v>
      </c>
      <c r="B49" s="28" t="s">
        <v>163</v>
      </c>
      <c r="C49" s="74" t="s">
        <v>164</v>
      </c>
      <c r="D49" s="60"/>
      <c r="E49" s="60"/>
      <c r="F49" s="19"/>
      <c r="G49" s="70"/>
      <c r="H49" s="70"/>
      <c r="I49" s="19"/>
      <c r="J49" s="19"/>
      <c r="K49" s="71"/>
      <c r="L49" s="71"/>
      <c r="M49" s="72"/>
      <c r="N49" s="75"/>
      <c r="O49" s="75"/>
      <c r="P49" s="75"/>
    </row>
    <row r="50" spans="1:16" s="1" customFormat="1" ht="18" x14ac:dyDescent="0.3">
      <c r="A50" s="38" t="s">
        <v>99</v>
      </c>
      <c r="B50" s="55" t="s">
        <v>101</v>
      </c>
      <c r="F50" s="32"/>
      <c r="G50" s="86"/>
      <c r="H50" s="86"/>
      <c r="I50" s="32"/>
      <c r="J50" s="32"/>
      <c r="K50" s="32"/>
      <c r="L50" s="32"/>
      <c r="M50" s="32"/>
    </row>
    <row r="51" spans="1:16" s="1" customFormat="1" ht="15.6" x14ac:dyDescent="0.3">
      <c r="A51" s="31">
        <v>1</v>
      </c>
      <c r="B51" s="64" t="s">
        <v>102</v>
      </c>
      <c r="C51" s="29" t="s">
        <v>103</v>
      </c>
      <c r="D51" s="56">
        <v>46179</v>
      </c>
      <c r="E51" s="56">
        <v>46543</v>
      </c>
      <c r="F51" s="19">
        <v>15550</v>
      </c>
      <c r="G51" s="70">
        <v>110</v>
      </c>
      <c r="H51" s="70">
        <v>5033</v>
      </c>
      <c r="I51" s="19">
        <f>F51-G51-H51</f>
        <v>10407</v>
      </c>
      <c r="J51" s="19" t="s">
        <v>59</v>
      </c>
      <c r="K51" s="71" t="s">
        <v>56</v>
      </c>
      <c r="L51" s="71" t="s">
        <v>56</v>
      </c>
      <c r="M51" s="72"/>
      <c r="N51" s="67"/>
      <c r="O51" s="67"/>
      <c r="P51" s="67"/>
    </row>
    <row r="52" spans="1:16" s="1" customFormat="1" ht="15.6" x14ac:dyDescent="0.3">
      <c r="A52" s="31">
        <v>2</v>
      </c>
      <c r="B52" s="64" t="s">
        <v>104</v>
      </c>
      <c r="C52" s="29" t="s">
        <v>105</v>
      </c>
      <c r="D52" s="69"/>
      <c r="E52" s="69"/>
      <c r="F52" s="19"/>
      <c r="G52" s="70"/>
      <c r="H52" s="70"/>
      <c r="I52" s="19"/>
      <c r="J52" s="19"/>
      <c r="K52" s="71"/>
      <c r="L52" s="71"/>
      <c r="M52" s="72"/>
      <c r="N52" s="73"/>
      <c r="O52" s="73"/>
      <c r="P52" s="73"/>
    </row>
    <row r="53" spans="1:16" s="1" customFormat="1" ht="15.6" x14ac:dyDescent="0.3">
      <c r="A53" s="31">
        <v>3</v>
      </c>
      <c r="B53" s="64" t="s">
        <v>106</v>
      </c>
      <c r="C53" s="29" t="s">
        <v>107</v>
      </c>
      <c r="D53" s="69"/>
      <c r="E53" s="69"/>
      <c r="F53" s="19"/>
      <c r="G53" s="70"/>
      <c r="H53" s="70"/>
      <c r="I53" s="19"/>
      <c r="J53" s="19"/>
      <c r="K53" s="71"/>
      <c r="L53" s="71"/>
      <c r="M53" s="72"/>
      <c r="N53" s="73"/>
      <c r="O53" s="73"/>
      <c r="P53" s="73"/>
    </row>
    <row r="54" spans="1:16" s="1" customFormat="1" ht="15.6" x14ac:dyDescent="0.3">
      <c r="A54" s="31">
        <v>4</v>
      </c>
      <c r="B54" s="64" t="s">
        <v>108</v>
      </c>
      <c r="C54" s="29" t="s">
        <v>109</v>
      </c>
      <c r="D54" s="69"/>
      <c r="E54" s="69"/>
      <c r="F54" s="19"/>
      <c r="G54" s="70"/>
      <c r="H54" s="70"/>
      <c r="I54" s="19"/>
      <c r="J54" s="19"/>
      <c r="K54" s="71"/>
      <c r="L54" s="71"/>
      <c r="M54" s="72"/>
      <c r="N54" s="73"/>
      <c r="O54" s="73"/>
      <c r="P54" s="73"/>
    </row>
    <row r="55" spans="1:16" s="1" customFormat="1" ht="15.6" x14ac:dyDescent="0.3">
      <c r="A55" s="31">
        <v>5</v>
      </c>
      <c r="B55" s="65" t="s">
        <v>110</v>
      </c>
      <c r="C55" s="29" t="s">
        <v>111</v>
      </c>
      <c r="D55" s="69"/>
      <c r="E55" s="69"/>
      <c r="F55" s="19"/>
      <c r="G55" s="70"/>
      <c r="H55" s="70"/>
      <c r="I55" s="19"/>
      <c r="J55" s="19"/>
      <c r="K55" s="71"/>
      <c r="L55" s="71"/>
      <c r="M55" s="72"/>
      <c r="N55" s="73"/>
      <c r="O55" s="73"/>
      <c r="P55" s="73"/>
    </row>
    <row r="56" spans="1:16" s="1" customFormat="1" ht="31.2" x14ac:dyDescent="0.3">
      <c r="A56" s="31">
        <v>6</v>
      </c>
      <c r="B56" s="65" t="s">
        <v>112</v>
      </c>
      <c r="C56" s="29" t="s">
        <v>113</v>
      </c>
      <c r="D56" s="69"/>
      <c r="E56" s="69"/>
      <c r="F56" s="19"/>
      <c r="G56" s="70"/>
      <c r="H56" s="70"/>
      <c r="I56" s="19"/>
      <c r="J56" s="19"/>
      <c r="K56" s="71"/>
      <c r="L56" s="71"/>
      <c r="M56" s="72"/>
      <c r="N56" s="73"/>
      <c r="O56" s="73"/>
      <c r="P56" s="73"/>
    </row>
    <row r="57" spans="1:16" s="1" customFormat="1" ht="31.2" x14ac:dyDescent="0.3">
      <c r="A57" s="31">
        <v>7</v>
      </c>
      <c r="B57" s="28" t="s">
        <v>114</v>
      </c>
      <c r="C57" s="29" t="s">
        <v>115</v>
      </c>
      <c r="D57" s="69"/>
      <c r="E57" s="69"/>
      <c r="F57" s="77"/>
      <c r="G57" s="78"/>
      <c r="H57" s="78"/>
      <c r="I57" s="77"/>
      <c r="J57" s="77"/>
      <c r="K57" s="79"/>
      <c r="L57" s="79"/>
      <c r="M57" s="79"/>
      <c r="N57" s="73"/>
      <c r="O57" s="73"/>
      <c r="P57" s="73"/>
    </row>
    <row r="58" spans="1:16" s="1" customFormat="1" ht="15.6" x14ac:dyDescent="0.3">
      <c r="A58" s="31">
        <v>8</v>
      </c>
      <c r="B58" s="65" t="s">
        <v>116</v>
      </c>
      <c r="C58" s="29" t="s">
        <v>40</v>
      </c>
      <c r="D58" s="69"/>
      <c r="E58" s="69"/>
      <c r="F58" s="77"/>
      <c r="G58" s="78"/>
      <c r="H58" s="78"/>
      <c r="I58" s="77"/>
      <c r="J58" s="77"/>
      <c r="K58" s="79"/>
      <c r="L58" s="79"/>
      <c r="M58" s="79"/>
      <c r="N58" s="73"/>
      <c r="O58" s="73"/>
      <c r="P58" s="73"/>
    </row>
    <row r="59" spans="1:16" s="1" customFormat="1" ht="15.6" x14ac:dyDescent="0.3">
      <c r="A59" s="31">
        <v>9</v>
      </c>
      <c r="B59" s="65" t="s">
        <v>117</v>
      </c>
      <c r="C59" s="29" t="s">
        <v>118</v>
      </c>
      <c r="D59" s="69"/>
      <c r="E59" s="69"/>
      <c r="F59" s="77"/>
      <c r="G59" s="78"/>
      <c r="H59" s="78"/>
      <c r="I59" s="77"/>
      <c r="J59" s="77"/>
      <c r="K59" s="79"/>
      <c r="L59" s="79"/>
      <c r="M59" s="79"/>
      <c r="N59" s="73"/>
      <c r="O59" s="73"/>
      <c r="P59" s="73"/>
    </row>
    <row r="60" spans="1:16" s="1" customFormat="1" ht="15.6" x14ac:dyDescent="0.3">
      <c r="A60" s="31">
        <v>10</v>
      </c>
      <c r="B60" s="65" t="s">
        <v>119</v>
      </c>
      <c r="C60" s="29" t="s">
        <v>120</v>
      </c>
      <c r="D60" s="69"/>
      <c r="E60" s="69"/>
      <c r="F60" s="77"/>
      <c r="G60" s="78"/>
      <c r="H60" s="78"/>
      <c r="I60" s="77"/>
      <c r="J60" s="77"/>
      <c r="K60" s="79"/>
      <c r="L60" s="79"/>
      <c r="M60" s="79"/>
      <c r="N60" s="73"/>
      <c r="O60" s="73"/>
      <c r="P60" s="73"/>
    </row>
    <row r="61" spans="1:16" s="1" customFormat="1" ht="15.6" x14ac:dyDescent="0.3">
      <c r="A61" s="31">
        <v>11</v>
      </c>
      <c r="B61" s="28" t="s">
        <v>121</v>
      </c>
      <c r="C61" s="29" t="s">
        <v>122</v>
      </c>
      <c r="D61" s="69"/>
      <c r="E61" s="69"/>
      <c r="F61" s="77"/>
      <c r="G61" s="78"/>
      <c r="H61" s="78"/>
      <c r="I61" s="77"/>
      <c r="J61" s="77"/>
      <c r="K61" s="79"/>
      <c r="L61" s="79"/>
      <c r="M61" s="79"/>
      <c r="N61" s="73"/>
      <c r="O61" s="73"/>
      <c r="P61" s="73"/>
    </row>
    <row r="62" spans="1:16" s="1" customFormat="1" ht="15.6" x14ac:dyDescent="0.3">
      <c r="A62" s="31">
        <v>12</v>
      </c>
      <c r="B62" s="65" t="s">
        <v>123</v>
      </c>
      <c r="C62" s="29" t="s">
        <v>124</v>
      </c>
      <c r="D62" s="73"/>
      <c r="E62" s="73"/>
      <c r="F62" s="73"/>
      <c r="G62" s="83"/>
      <c r="H62" s="83"/>
      <c r="I62" s="73"/>
      <c r="J62" s="73"/>
      <c r="K62" s="73"/>
      <c r="L62" s="73"/>
      <c r="M62" s="73"/>
      <c r="N62" s="73"/>
      <c r="O62" s="73"/>
      <c r="P62" s="73"/>
    </row>
    <row r="63" spans="1:16" s="1" customFormat="1" ht="15.6" x14ac:dyDescent="0.3">
      <c r="A63" s="31">
        <v>13</v>
      </c>
      <c r="B63" s="65" t="s">
        <v>125</v>
      </c>
      <c r="C63" s="29" t="s">
        <v>126</v>
      </c>
      <c r="D63" s="73"/>
      <c r="E63" s="73"/>
      <c r="F63" s="73"/>
      <c r="G63" s="83"/>
      <c r="H63" s="83"/>
      <c r="I63" s="73"/>
      <c r="J63" s="73"/>
      <c r="K63" s="73"/>
      <c r="L63" s="73"/>
      <c r="M63" s="73"/>
      <c r="N63" s="73"/>
      <c r="O63" s="73"/>
      <c r="P63" s="73"/>
    </row>
    <row r="64" spans="1:16" s="1" customFormat="1" ht="15.6" x14ac:dyDescent="0.3">
      <c r="A64" s="31">
        <v>14</v>
      </c>
      <c r="B64" s="65" t="s">
        <v>127</v>
      </c>
      <c r="C64" s="29" t="s">
        <v>128</v>
      </c>
      <c r="D64" s="73"/>
      <c r="E64" s="73"/>
      <c r="F64" s="73"/>
      <c r="G64" s="83"/>
      <c r="H64" s="83"/>
      <c r="I64" s="73"/>
      <c r="J64" s="73"/>
      <c r="K64" s="73"/>
      <c r="L64" s="73"/>
      <c r="M64" s="73"/>
      <c r="N64" s="73"/>
      <c r="O64" s="73"/>
      <c r="P64" s="73"/>
    </row>
    <row r="65" spans="1:16" s="1" customFormat="1" ht="15.6" x14ac:dyDescent="0.3">
      <c r="A65" s="31">
        <v>15</v>
      </c>
      <c r="B65" s="65" t="s">
        <v>129</v>
      </c>
      <c r="C65" s="29" t="s">
        <v>130</v>
      </c>
      <c r="D65" s="73"/>
      <c r="E65" s="73"/>
      <c r="F65" s="73"/>
      <c r="G65" s="83"/>
      <c r="H65" s="83"/>
      <c r="I65" s="73"/>
      <c r="J65" s="73"/>
      <c r="K65" s="73"/>
      <c r="L65" s="73"/>
      <c r="M65" s="73"/>
      <c r="N65" s="73"/>
      <c r="O65" s="73"/>
      <c r="P65" s="73"/>
    </row>
    <row r="66" spans="1:16" s="1" customFormat="1" ht="15.6" x14ac:dyDescent="0.3">
      <c r="A66" s="31">
        <v>16</v>
      </c>
      <c r="B66" s="65" t="s">
        <v>131</v>
      </c>
      <c r="C66" s="29" t="s">
        <v>132</v>
      </c>
      <c r="D66" s="73"/>
      <c r="E66" s="73"/>
      <c r="F66" s="73"/>
      <c r="G66" s="83"/>
      <c r="H66" s="83"/>
      <c r="I66" s="73"/>
      <c r="J66" s="73"/>
      <c r="K66" s="73"/>
      <c r="L66" s="73"/>
      <c r="M66" s="73"/>
      <c r="N66" s="73"/>
      <c r="O66" s="73"/>
      <c r="P66" s="73"/>
    </row>
    <row r="67" spans="1:16" s="1" customFormat="1" ht="15.6" x14ac:dyDescent="0.3">
      <c r="A67" s="31">
        <v>17</v>
      </c>
      <c r="B67" s="65" t="s">
        <v>133</v>
      </c>
      <c r="C67" s="29" t="s">
        <v>134</v>
      </c>
      <c r="D67" s="73"/>
      <c r="E67" s="73"/>
      <c r="F67" s="73"/>
      <c r="G67" s="83"/>
      <c r="H67" s="83"/>
      <c r="I67" s="73"/>
      <c r="J67" s="73"/>
      <c r="K67" s="73"/>
      <c r="L67" s="73"/>
      <c r="M67" s="73"/>
      <c r="N67" s="73"/>
      <c r="O67" s="73"/>
      <c r="P67" s="73"/>
    </row>
    <row r="68" spans="1:16" s="1" customFormat="1" ht="15.6" x14ac:dyDescent="0.3">
      <c r="A68" s="31">
        <v>18</v>
      </c>
      <c r="B68" s="65" t="s">
        <v>133</v>
      </c>
      <c r="C68" s="29" t="s">
        <v>135</v>
      </c>
      <c r="D68" s="73"/>
      <c r="E68" s="73"/>
      <c r="F68" s="73"/>
      <c r="G68" s="83"/>
      <c r="H68" s="83"/>
      <c r="I68" s="73"/>
      <c r="J68" s="73"/>
      <c r="K68" s="73"/>
      <c r="L68" s="73"/>
      <c r="M68" s="73"/>
      <c r="N68" s="73"/>
      <c r="O68" s="73"/>
      <c r="P68" s="73"/>
    </row>
    <row r="69" spans="1:16" s="1" customFormat="1" ht="15.6" x14ac:dyDescent="0.3">
      <c r="A69" s="31">
        <v>19</v>
      </c>
      <c r="B69" s="65" t="s">
        <v>129</v>
      </c>
      <c r="C69" s="29" t="s">
        <v>136</v>
      </c>
      <c r="D69" s="73"/>
      <c r="E69" s="73"/>
      <c r="F69" s="73"/>
      <c r="G69" s="83"/>
      <c r="H69" s="83"/>
      <c r="I69" s="73"/>
      <c r="J69" s="73"/>
      <c r="K69" s="73"/>
      <c r="L69" s="73"/>
      <c r="M69" s="73"/>
      <c r="N69" s="73"/>
      <c r="O69" s="73"/>
      <c r="P69" s="73"/>
    </row>
    <row r="70" spans="1:16" s="1" customFormat="1" ht="15.6" x14ac:dyDescent="0.3">
      <c r="A70" s="31">
        <v>20</v>
      </c>
      <c r="B70" s="65" t="s">
        <v>131</v>
      </c>
      <c r="C70" s="29" t="s">
        <v>137</v>
      </c>
      <c r="D70" s="73"/>
      <c r="E70" s="73"/>
      <c r="F70" s="73"/>
      <c r="G70" s="83"/>
      <c r="H70" s="83"/>
      <c r="I70" s="73"/>
      <c r="J70" s="73"/>
      <c r="K70" s="73"/>
      <c r="L70" s="73"/>
      <c r="M70" s="73"/>
      <c r="N70" s="73"/>
      <c r="O70" s="73"/>
      <c r="P70" s="73"/>
    </row>
    <row r="71" spans="1:16" s="1" customFormat="1" ht="15.6" x14ac:dyDescent="0.3">
      <c r="A71" s="31">
        <v>21</v>
      </c>
      <c r="B71" s="65" t="s">
        <v>138</v>
      </c>
      <c r="C71" s="29" t="s">
        <v>139</v>
      </c>
      <c r="D71" s="73"/>
      <c r="E71" s="73"/>
      <c r="F71" s="73"/>
      <c r="G71" s="83"/>
      <c r="H71" s="83"/>
      <c r="I71" s="73"/>
      <c r="J71" s="73"/>
      <c r="K71" s="73"/>
      <c r="L71" s="73"/>
      <c r="M71" s="73"/>
      <c r="N71" s="73"/>
      <c r="O71" s="73"/>
      <c r="P71" s="73"/>
    </row>
    <row r="72" spans="1:16" s="1" customFormat="1" ht="15.6" x14ac:dyDescent="0.3">
      <c r="A72" s="31">
        <v>22</v>
      </c>
      <c r="B72" s="65" t="s">
        <v>140</v>
      </c>
      <c r="C72" s="29" t="s">
        <v>141</v>
      </c>
      <c r="D72" s="73"/>
      <c r="E72" s="73"/>
      <c r="F72" s="73"/>
      <c r="G72" s="83"/>
      <c r="H72" s="83"/>
      <c r="I72" s="73"/>
      <c r="J72" s="73"/>
      <c r="K72" s="73"/>
      <c r="L72" s="73"/>
      <c r="M72" s="73"/>
      <c r="N72" s="73"/>
      <c r="O72" s="73"/>
      <c r="P72" s="73"/>
    </row>
    <row r="73" spans="1:16" s="1" customFormat="1" ht="15.6" x14ac:dyDescent="0.3">
      <c r="A73" s="31">
        <v>23</v>
      </c>
      <c r="B73" s="65" t="s">
        <v>140</v>
      </c>
      <c r="C73" s="29" t="s">
        <v>142</v>
      </c>
      <c r="D73" s="75"/>
      <c r="E73" s="75"/>
      <c r="F73" s="75"/>
      <c r="G73" s="84"/>
      <c r="H73" s="84"/>
      <c r="I73" s="75"/>
      <c r="J73" s="75"/>
      <c r="K73" s="75"/>
      <c r="L73" s="75"/>
      <c r="M73" s="75"/>
      <c r="N73" s="75"/>
      <c r="O73" s="75"/>
      <c r="P73" s="75"/>
    </row>
    <row r="74" spans="1:16" s="1" customFormat="1" ht="18" x14ac:dyDescent="0.3">
      <c r="A74" s="38" t="s">
        <v>100</v>
      </c>
      <c r="B74" s="55" t="s">
        <v>177</v>
      </c>
      <c r="F74" s="136"/>
      <c r="G74" s="137"/>
      <c r="H74" s="137"/>
      <c r="I74" s="136"/>
      <c r="J74" s="136"/>
      <c r="K74" s="136"/>
    </row>
    <row r="75" spans="1:16" s="1" customFormat="1" ht="15.6" x14ac:dyDescent="0.3">
      <c r="A75" s="31">
        <v>1</v>
      </c>
      <c r="B75" s="28" t="s">
        <v>357</v>
      </c>
      <c r="C75" s="29" t="s">
        <v>166</v>
      </c>
      <c r="D75" s="56"/>
      <c r="E75" s="56"/>
      <c r="F75" s="19">
        <v>2333</v>
      </c>
      <c r="G75" s="138">
        <v>204.85</v>
      </c>
      <c r="H75" s="138">
        <v>300</v>
      </c>
      <c r="I75" s="139">
        <f>F75-G75-H75</f>
        <v>1828.15</v>
      </c>
      <c r="J75" s="42" t="s">
        <v>59</v>
      </c>
      <c r="K75" s="57" t="s">
        <v>56</v>
      </c>
      <c r="L75" s="57" t="s">
        <v>56</v>
      </c>
      <c r="M75" s="57"/>
      <c r="N75" s="67"/>
      <c r="O75" s="67"/>
      <c r="P75" s="67"/>
    </row>
    <row r="76" spans="1:16" s="1" customFormat="1" ht="15.6" x14ac:dyDescent="0.3">
      <c r="A76" s="31">
        <v>2</v>
      </c>
      <c r="B76" s="28" t="s">
        <v>171</v>
      </c>
      <c r="C76" s="29" t="s">
        <v>172</v>
      </c>
      <c r="D76" s="69"/>
      <c r="E76" s="69"/>
      <c r="F76" s="77"/>
      <c r="G76" s="78"/>
      <c r="H76" s="78"/>
      <c r="I76" s="77"/>
      <c r="J76" s="77"/>
      <c r="K76" s="79"/>
      <c r="L76" s="79"/>
      <c r="M76" s="79"/>
      <c r="N76" s="73"/>
      <c r="O76" s="73"/>
      <c r="P76" s="73"/>
    </row>
    <row r="77" spans="1:16" s="1" customFormat="1" ht="15.6" x14ac:dyDescent="0.3">
      <c r="A77" s="31">
        <v>3</v>
      </c>
      <c r="B77" s="28" t="s">
        <v>169</v>
      </c>
      <c r="C77" s="29" t="s">
        <v>170</v>
      </c>
      <c r="D77" s="69"/>
      <c r="E77" s="69"/>
      <c r="F77" s="77"/>
      <c r="G77" s="78"/>
      <c r="H77" s="78"/>
      <c r="I77" s="77"/>
      <c r="J77" s="77"/>
      <c r="K77" s="79"/>
      <c r="L77" s="79"/>
      <c r="M77" s="79"/>
      <c r="N77" s="73"/>
      <c r="O77" s="73"/>
      <c r="P77" s="73"/>
    </row>
    <row r="78" spans="1:16" s="1" customFormat="1" ht="15.6" x14ac:dyDescent="0.3">
      <c r="A78" s="31">
        <v>4</v>
      </c>
      <c r="B78" s="28" t="s">
        <v>173</v>
      </c>
      <c r="C78" s="29" t="s">
        <v>174</v>
      </c>
      <c r="D78" s="69"/>
      <c r="E78" s="69"/>
      <c r="F78" s="77"/>
      <c r="G78" s="78"/>
      <c r="H78" s="78"/>
      <c r="I78" s="77"/>
      <c r="J78" s="77"/>
      <c r="K78" s="79"/>
      <c r="L78" s="79"/>
      <c r="M78" s="79"/>
      <c r="N78" s="73"/>
      <c r="O78" s="73"/>
      <c r="P78" s="73"/>
    </row>
    <row r="79" spans="1:16" s="1" customFormat="1" ht="15.6" x14ac:dyDescent="0.3">
      <c r="A79" s="31">
        <v>5</v>
      </c>
      <c r="B79" s="28" t="s">
        <v>175</v>
      </c>
      <c r="C79" s="29" t="s">
        <v>176</v>
      </c>
      <c r="D79" s="69"/>
      <c r="E79" s="69"/>
      <c r="F79" s="77"/>
      <c r="G79" s="78"/>
      <c r="H79" s="78"/>
      <c r="I79" s="77"/>
      <c r="J79" s="77"/>
      <c r="K79" s="79"/>
      <c r="L79" s="79"/>
      <c r="M79" s="79"/>
      <c r="N79" s="73"/>
      <c r="O79" s="73"/>
      <c r="P79" s="73"/>
    </row>
    <row r="80" spans="1:16" s="1" customFormat="1" ht="15.6" customHeight="1" x14ac:dyDescent="0.3">
      <c r="A80" s="31">
        <v>1</v>
      </c>
      <c r="B80" s="28" t="s">
        <v>178</v>
      </c>
      <c r="C80" s="29" t="s">
        <v>179</v>
      </c>
      <c r="D80" s="69"/>
      <c r="E80" s="69"/>
      <c r="F80" s="77"/>
      <c r="G80" s="78"/>
      <c r="H80" s="78"/>
      <c r="I80" s="77"/>
      <c r="J80" s="77"/>
      <c r="K80" s="79"/>
      <c r="L80" s="79"/>
      <c r="M80" s="79"/>
      <c r="N80" s="73"/>
      <c r="O80" s="73"/>
      <c r="P80" s="73"/>
    </row>
    <row r="81" spans="1:16" s="1" customFormat="1" ht="15.6" x14ac:dyDescent="0.3">
      <c r="A81" s="31">
        <v>2</v>
      </c>
      <c r="B81" s="28" t="s">
        <v>180</v>
      </c>
      <c r="C81" s="29" t="s">
        <v>181</v>
      </c>
      <c r="D81" s="73"/>
      <c r="E81" s="73"/>
      <c r="F81" s="73"/>
      <c r="G81" s="83"/>
      <c r="H81" s="83"/>
      <c r="I81" s="73"/>
      <c r="J81" s="73"/>
      <c r="K81" s="73"/>
      <c r="L81" s="73"/>
      <c r="M81" s="73"/>
      <c r="N81" s="73"/>
      <c r="O81" s="73"/>
      <c r="P81" s="73"/>
    </row>
    <row r="82" spans="1:16" s="1" customFormat="1" ht="15.6" x14ac:dyDescent="0.3">
      <c r="A82" s="31">
        <v>3</v>
      </c>
      <c r="B82" s="28" t="s">
        <v>182</v>
      </c>
      <c r="C82" s="29" t="s">
        <v>38</v>
      </c>
      <c r="D82" s="73"/>
      <c r="E82" s="73"/>
      <c r="F82" s="73"/>
      <c r="G82" s="83"/>
      <c r="H82" s="83"/>
      <c r="I82" s="73"/>
      <c r="J82" s="73"/>
      <c r="K82" s="73"/>
      <c r="L82" s="73"/>
      <c r="M82" s="73"/>
      <c r="N82" s="73"/>
      <c r="O82" s="73"/>
      <c r="P82" s="73"/>
    </row>
    <row r="83" spans="1:16" s="1" customFormat="1" ht="31.2" x14ac:dyDescent="0.3">
      <c r="A83" s="31">
        <v>4</v>
      </c>
      <c r="B83" s="28" t="s">
        <v>183</v>
      </c>
      <c r="C83" s="29" t="s">
        <v>184</v>
      </c>
      <c r="D83" s="73"/>
      <c r="E83" s="73"/>
      <c r="F83" s="73"/>
      <c r="G83" s="83"/>
      <c r="H83" s="83"/>
      <c r="I83" s="73"/>
      <c r="J83" s="73"/>
      <c r="K83" s="73"/>
      <c r="L83" s="73"/>
      <c r="M83" s="73"/>
      <c r="N83" s="73"/>
      <c r="O83" s="73"/>
      <c r="P83" s="73"/>
    </row>
    <row r="84" spans="1:16" s="1" customFormat="1" ht="15.6" x14ac:dyDescent="0.3">
      <c r="A84" s="31">
        <v>5</v>
      </c>
      <c r="B84" s="28" t="s">
        <v>185</v>
      </c>
      <c r="C84" s="29" t="s">
        <v>186</v>
      </c>
      <c r="D84" s="73"/>
      <c r="E84" s="73"/>
      <c r="F84" s="73"/>
      <c r="G84" s="83"/>
      <c r="H84" s="83"/>
      <c r="I84" s="73"/>
      <c r="J84" s="73"/>
      <c r="K84" s="73"/>
      <c r="L84" s="73"/>
      <c r="M84" s="73"/>
      <c r="N84" s="73"/>
      <c r="O84" s="73"/>
      <c r="P84" s="73"/>
    </row>
    <row r="85" spans="1:16" s="1" customFormat="1" ht="31.2" x14ac:dyDescent="0.3">
      <c r="A85" s="31">
        <v>6</v>
      </c>
      <c r="B85" s="65" t="s">
        <v>187</v>
      </c>
      <c r="C85" s="29" t="s">
        <v>184</v>
      </c>
      <c r="D85" s="73"/>
      <c r="E85" s="73"/>
      <c r="F85" s="73"/>
      <c r="G85" s="83"/>
      <c r="H85" s="83"/>
      <c r="I85" s="73"/>
      <c r="J85" s="73"/>
      <c r="K85" s="73"/>
      <c r="L85" s="73"/>
      <c r="M85" s="73"/>
      <c r="N85" s="73"/>
      <c r="O85" s="73"/>
      <c r="P85" s="73"/>
    </row>
    <row r="86" spans="1:16" s="1" customFormat="1" ht="31.2" x14ac:dyDescent="0.3">
      <c r="A86" s="31">
        <v>7</v>
      </c>
      <c r="B86" s="28" t="s">
        <v>253</v>
      </c>
      <c r="C86" s="127" t="s">
        <v>188</v>
      </c>
      <c r="D86" s="73"/>
      <c r="E86" s="73"/>
      <c r="F86" s="73"/>
      <c r="G86" s="83"/>
      <c r="H86" s="83"/>
      <c r="I86" s="73"/>
      <c r="J86" s="73"/>
      <c r="K86" s="73"/>
      <c r="L86" s="73"/>
      <c r="M86" s="73"/>
      <c r="N86" s="73"/>
      <c r="O86" s="73"/>
      <c r="P86" s="73"/>
    </row>
    <row r="87" spans="1:16" s="1" customFormat="1" ht="78" x14ac:dyDescent="0.3">
      <c r="A87" s="31">
        <v>8</v>
      </c>
      <c r="B87" s="28" t="s">
        <v>254</v>
      </c>
      <c r="C87" s="127"/>
      <c r="D87" s="73"/>
      <c r="E87" s="73"/>
      <c r="F87" s="73"/>
      <c r="G87" s="83"/>
      <c r="H87" s="83"/>
      <c r="I87" s="73"/>
      <c r="J87" s="73"/>
      <c r="K87" s="73"/>
      <c r="L87" s="73"/>
      <c r="M87" s="73"/>
      <c r="N87" s="73"/>
      <c r="O87" s="73"/>
      <c r="P87" s="73"/>
    </row>
    <row r="88" spans="1:16" s="1" customFormat="1" ht="15.6" x14ac:dyDescent="0.3">
      <c r="A88" s="31">
        <v>9</v>
      </c>
      <c r="B88" s="28" t="s">
        <v>189</v>
      </c>
      <c r="C88" s="29" t="s">
        <v>174</v>
      </c>
      <c r="D88" s="73"/>
      <c r="E88" s="73"/>
      <c r="F88" s="73"/>
      <c r="G88" s="83"/>
      <c r="H88" s="83"/>
      <c r="I88" s="73"/>
      <c r="J88" s="73"/>
      <c r="K88" s="73"/>
      <c r="L88" s="73"/>
      <c r="M88" s="73"/>
      <c r="N88" s="73"/>
      <c r="O88" s="73"/>
      <c r="P88" s="73"/>
    </row>
    <row r="89" spans="1:16" s="1" customFormat="1" ht="15.6" x14ac:dyDescent="0.3">
      <c r="A89" s="31">
        <v>10</v>
      </c>
      <c r="B89" s="28" t="s">
        <v>190</v>
      </c>
      <c r="C89" s="29" t="s">
        <v>191</v>
      </c>
      <c r="D89" s="73"/>
      <c r="E89" s="73"/>
      <c r="F89" s="73"/>
      <c r="G89" s="83"/>
      <c r="H89" s="83"/>
      <c r="I89" s="73"/>
      <c r="J89" s="73"/>
      <c r="K89" s="73"/>
      <c r="L89" s="73"/>
      <c r="M89" s="73"/>
      <c r="N89" s="73"/>
      <c r="O89" s="73"/>
      <c r="P89" s="73"/>
    </row>
    <row r="90" spans="1:16" s="1" customFormat="1" ht="15.6" x14ac:dyDescent="0.3">
      <c r="A90" s="31">
        <v>11</v>
      </c>
      <c r="B90" s="28" t="s">
        <v>192</v>
      </c>
      <c r="C90" s="29" t="s">
        <v>193</v>
      </c>
      <c r="D90" s="73"/>
      <c r="E90" s="73"/>
      <c r="F90" s="73"/>
      <c r="G90" s="83"/>
      <c r="H90" s="83"/>
      <c r="I90" s="73"/>
      <c r="J90" s="73"/>
      <c r="K90" s="73"/>
      <c r="L90" s="73"/>
      <c r="M90" s="73"/>
      <c r="N90" s="73"/>
      <c r="O90" s="73"/>
      <c r="P90" s="73"/>
    </row>
    <row r="91" spans="1:16" s="1" customFormat="1" ht="15.6" x14ac:dyDescent="0.3">
      <c r="A91" s="31">
        <v>12</v>
      </c>
      <c r="B91" s="28" t="s">
        <v>192</v>
      </c>
      <c r="C91" s="29" t="s">
        <v>194</v>
      </c>
      <c r="D91" s="73"/>
      <c r="E91" s="73"/>
      <c r="F91" s="73"/>
      <c r="G91" s="83"/>
      <c r="H91" s="83"/>
      <c r="I91" s="73"/>
      <c r="J91" s="73"/>
      <c r="K91" s="73"/>
      <c r="L91" s="73"/>
      <c r="M91" s="73"/>
      <c r="N91" s="73"/>
      <c r="O91" s="73"/>
      <c r="P91" s="73"/>
    </row>
    <row r="92" spans="1:16" s="1" customFormat="1" ht="46.8" x14ac:dyDescent="0.3">
      <c r="A92" s="31">
        <v>13</v>
      </c>
      <c r="B92" s="28" t="s">
        <v>195</v>
      </c>
      <c r="C92" s="29" t="s">
        <v>184</v>
      </c>
      <c r="D92" s="73"/>
      <c r="E92" s="73"/>
      <c r="F92" s="73"/>
      <c r="G92" s="83"/>
      <c r="H92" s="83"/>
      <c r="I92" s="73"/>
      <c r="J92" s="73"/>
      <c r="K92" s="73"/>
      <c r="L92" s="73"/>
      <c r="M92" s="73"/>
      <c r="N92" s="73"/>
      <c r="O92" s="73"/>
      <c r="P92" s="73"/>
    </row>
    <row r="93" spans="1:16" s="1" customFormat="1" ht="31.2" x14ac:dyDescent="0.3">
      <c r="A93" s="31">
        <v>14</v>
      </c>
      <c r="B93" s="28" t="s">
        <v>196</v>
      </c>
      <c r="C93" s="29" t="s">
        <v>184</v>
      </c>
      <c r="D93" s="73"/>
      <c r="E93" s="73"/>
      <c r="F93" s="73"/>
      <c r="G93" s="83"/>
      <c r="H93" s="83"/>
      <c r="I93" s="73"/>
      <c r="J93" s="73"/>
      <c r="K93" s="73"/>
      <c r="L93" s="73"/>
      <c r="M93" s="73"/>
      <c r="N93" s="73"/>
      <c r="O93" s="73"/>
      <c r="P93" s="73"/>
    </row>
    <row r="94" spans="1:16" s="1" customFormat="1" ht="31.2" x14ac:dyDescent="0.3">
      <c r="A94" s="31">
        <v>15</v>
      </c>
      <c r="B94" s="28" t="s">
        <v>197</v>
      </c>
      <c r="C94" s="29" t="s">
        <v>184</v>
      </c>
      <c r="D94" s="73"/>
      <c r="E94" s="73"/>
      <c r="F94" s="73"/>
      <c r="G94" s="83"/>
      <c r="H94" s="83"/>
      <c r="I94" s="73"/>
      <c r="J94" s="73"/>
      <c r="K94" s="73"/>
      <c r="L94" s="73"/>
      <c r="M94" s="73"/>
      <c r="N94" s="73"/>
      <c r="O94" s="73"/>
      <c r="P94" s="73"/>
    </row>
    <row r="95" spans="1:16" s="1" customFormat="1" ht="15.6" x14ac:dyDescent="0.3">
      <c r="A95" s="31">
        <v>16</v>
      </c>
      <c r="B95" s="28" t="s">
        <v>198</v>
      </c>
      <c r="C95" s="29" t="s">
        <v>184</v>
      </c>
      <c r="D95" s="73"/>
      <c r="E95" s="73"/>
      <c r="F95" s="73"/>
      <c r="G95" s="83"/>
      <c r="H95" s="83"/>
      <c r="I95" s="73"/>
      <c r="J95" s="73"/>
      <c r="K95" s="73"/>
      <c r="L95" s="73"/>
      <c r="M95" s="73"/>
      <c r="N95" s="73"/>
      <c r="O95" s="73"/>
      <c r="P95" s="73"/>
    </row>
    <row r="96" spans="1:16" s="1" customFormat="1" ht="15.6" x14ac:dyDescent="0.3">
      <c r="A96" s="31">
        <v>17</v>
      </c>
      <c r="B96" s="28" t="s">
        <v>199</v>
      </c>
      <c r="C96" s="29" t="s">
        <v>200</v>
      </c>
      <c r="D96" s="73"/>
      <c r="E96" s="73"/>
      <c r="F96" s="73"/>
      <c r="G96" s="83"/>
      <c r="H96" s="83"/>
      <c r="I96" s="73"/>
      <c r="J96" s="73"/>
      <c r="K96" s="73"/>
      <c r="L96" s="73"/>
      <c r="M96" s="73"/>
      <c r="N96" s="73"/>
      <c r="O96" s="73"/>
      <c r="P96" s="73"/>
    </row>
    <row r="97" spans="1:16" s="1" customFormat="1" ht="15.6" x14ac:dyDescent="0.3">
      <c r="A97" s="31">
        <v>18</v>
      </c>
      <c r="B97" s="28" t="s">
        <v>201</v>
      </c>
      <c r="C97" s="29" t="s">
        <v>202</v>
      </c>
      <c r="D97" s="73"/>
      <c r="E97" s="73"/>
      <c r="F97" s="73"/>
      <c r="G97" s="83"/>
      <c r="H97" s="83"/>
      <c r="I97" s="73"/>
      <c r="J97" s="73"/>
      <c r="K97" s="73"/>
      <c r="L97" s="73"/>
      <c r="M97" s="73"/>
      <c r="N97" s="73"/>
      <c r="O97" s="73"/>
      <c r="P97" s="73"/>
    </row>
    <row r="98" spans="1:16" s="1" customFormat="1" ht="31.2" x14ac:dyDescent="0.3">
      <c r="A98" s="31">
        <v>19</v>
      </c>
      <c r="B98" s="28" t="s">
        <v>203</v>
      </c>
      <c r="C98" s="29" t="s">
        <v>184</v>
      </c>
      <c r="D98" s="73"/>
      <c r="E98" s="73"/>
      <c r="F98" s="73"/>
      <c r="G98" s="83"/>
      <c r="H98" s="83"/>
      <c r="I98" s="73"/>
      <c r="J98" s="73"/>
      <c r="K98" s="73"/>
      <c r="L98" s="73"/>
      <c r="M98" s="73"/>
      <c r="N98" s="73"/>
      <c r="O98" s="73"/>
      <c r="P98" s="73"/>
    </row>
    <row r="99" spans="1:16" s="1" customFormat="1" ht="31.2" x14ac:dyDescent="0.3">
      <c r="A99" s="31">
        <v>20</v>
      </c>
      <c r="B99" s="28" t="s">
        <v>204</v>
      </c>
      <c r="C99" s="29" t="s">
        <v>184</v>
      </c>
      <c r="D99" s="73"/>
      <c r="E99" s="73"/>
      <c r="F99" s="73"/>
      <c r="G99" s="83"/>
      <c r="H99" s="83"/>
      <c r="I99" s="73"/>
      <c r="J99" s="73"/>
      <c r="K99" s="73"/>
      <c r="L99" s="73"/>
      <c r="M99" s="73"/>
      <c r="N99" s="73"/>
      <c r="O99" s="73"/>
      <c r="P99" s="73"/>
    </row>
    <row r="100" spans="1:16" s="1" customFormat="1" ht="15.6" x14ac:dyDescent="0.3">
      <c r="A100" s="31">
        <v>21</v>
      </c>
      <c r="B100" s="28" t="s">
        <v>205</v>
      </c>
      <c r="C100" s="29" t="s">
        <v>206</v>
      </c>
      <c r="D100" s="73"/>
      <c r="E100" s="73"/>
      <c r="F100" s="73"/>
      <c r="G100" s="83"/>
      <c r="H100" s="83"/>
      <c r="I100" s="73"/>
      <c r="J100" s="73"/>
      <c r="K100" s="73"/>
      <c r="L100" s="73"/>
      <c r="M100" s="73"/>
      <c r="N100" s="73"/>
      <c r="O100" s="73"/>
      <c r="P100" s="73"/>
    </row>
    <row r="101" spans="1:16" s="1" customFormat="1" ht="15.6" x14ac:dyDescent="0.3">
      <c r="A101" s="31">
        <v>22</v>
      </c>
      <c r="B101" s="28" t="s">
        <v>207</v>
      </c>
      <c r="C101" s="29" t="s">
        <v>181</v>
      </c>
      <c r="D101" s="73"/>
      <c r="E101" s="73"/>
      <c r="F101" s="73"/>
      <c r="G101" s="83"/>
      <c r="H101" s="83"/>
      <c r="I101" s="73"/>
      <c r="J101" s="73"/>
      <c r="K101" s="73"/>
      <c r="L101" s="73"/>
      <c r="M101" s="73"/>
      <c r="N101" s="73"/>
      <c r="O101" s="73"/>
      <c r="P101" s="73"/>
    </row>
    <row r="102" spans="1:16" s="1" customFormat="1" ht="31.2" x14ac:dyDescent="0.3">
      <c r="A102" s="31">
        <v>23</v>
      </c>
      <c r="B102" s="28" t="s">
        <v>208</v>
      </c>
      <c r="C102" s="29" t="s">
        <v>202</v>
      </c>
      <c r="D102" s="73"/>
      <c r="E102" s="73"/>
      <c r="F102" s="73"/>
      <c r="G102" s="83"/>
      <c r="H102" s="83"/>
      <c r="I102" s="73"/>
      <c r="J102" s="73"/>
      <c r="K102" s="73"/>
      <c r="L102" s="73"/>
      <c r="M102" s="73"/>
      <c r="N102" s="73"/>
      <c r="O102" s="73"/>
      <c r="P102" s="73"/>
    </row>
    <row r="103" spans="1:16" s="1" customFormat="1" ht="15.6" x14ac:dyDescent="0.3">
      <c r="A103" s="31">
        <v>24</v>
      </c>
      <c r="B103" s="28" t="s">
        <v>209</v>
      </c>
      <c r="C103" s="29" t="s">
        <v>181</v>
      </c>
      <c r="D103" s="73"/>
      <c r="E103" s="73"/>
      <c r="F103" s="73"/>
      <c r="G103" s="83"/>
      <c r="H103" s="83"/>
      <c r="I103" s="73"/>
      <c r="J103" s="73"/>
      <c r="K103" s="73"/>
      <c r="L103" s="73"/>
      <c r="M103" s="73"/>
      <c r="N103" s="73"/>
      <c r="O103" s="73"/>
      <c r="P103" s="73"/>
    </row>
    <row r="104" spans="1:16" s="1" customFormat="1" ht="15.6" x14ac:dyDescent="0.3">
      <c r="A104" s="31">
        <v>25</v>
      </c>
      <c r="B104" s="28" t="s">
        <v>210</v>
      </c>
      <c r="C104" s="29" t="s">
        <v>181</v>
      </c>
      <c r="D104" s="73"/>
      <c r="E104" s="73"/>
      <c r="F104" s="73"/>
      <c r="G104" s="83"/>
      <c r="H104" s="83"/>
      <c r="I104" s="73"/>
      <c r="J104" s="73"/>
      <c r="K104" s="73"/>
      <c r="L104" s="73"/>
      <c r="M104" s="73"/>
      <c r="N104" s="73"/>
      <c r="O104" s="73"/>
      <c r="P104" s="73"/>
    </row>
    <row r="105" spans="1:16" s="1" customFormat="1" ht="15.6" x14ac:dyDescent="0.3">
      <c r="A105" s="31">
        <v>26</v>
      </c>
      <c r="B105" s="28" t="s">
        <v>211</v>
      </c>
      <c r="C105" s="29" t="s">
        <v>212</v>
      </c>
      <c r="D105" s="73"/>
      <c r="E105" s="73"/>
      <c r="F105" s="73"/>
      <c r="G105" s="83"/>
      <c r="H105" s="83"/>
      <c r="I105" s="73"/>
      <c r="J105" s="73"/>
      <c r="K105" s="73"/>
      <c r="L105" s="73"/>
      <c r="M105" s="73"/>
      <c r="N105" s="73"/>
      <c r="O105" s="73"/>
      <c r="P105" s="73"/>
    </row>
    <row r="106" spans="1:16" s="1" customFormat="1" ht="31.2" x14ac:dyDescent="0.3">
      <c r="A106" s="31">
        <v>27</v>
      </c>
      <c r="B106" s="28" t="s">
        <v>213</v>
      </c>
      <c r="C106" s="29" t="s">
        <v>214</v>
      </c>
      <c r="D106" s="73"/>
      <c r="E106" s="73"/>
      <c r="F106" s="73"/>
      <c r="G106" s="83"/>
      <c r="H106" s="83"/>
      <c r="I106" s="73"/>
      <c r="J106" s="73"/>
      <c r="K106" s="73"/>
      <c r="L106" s="73"/>
      <c r="M106" s="73"/>
      <c r="N106" s="73"/>
      <c r="O106" s="73"/>
      <c r="P106" s="73"/>
    </row>
    <row r="107" spans="1:16" s="1" customFormat="1" ht="15.6" x14ac:dyDescent="0.3">
      <c r="A107" s="31">
        <v>28</v>
      </c>
      <c r="B107" s="28" t="s">
        <v>215</v>
      </c>
      <c r="C107" s="29" t="s">
        <v>181</v>
      </c>
      <c r="D107" s="73"/>
      <c r="E107" s="73"/>
      <c r="F107" s="73"/>
      <c r="G107" s="83"/>
      <c r="H107" s="83"/>
      <c r="I107" s="73"/>
      <c r="J107" s="73"/>
      <c r="K107" s="73"/>
      <c r="L107" s="73"/>
      <c r="M107" s="73"/>
      <c r="N107" s="73"/>
      <c r="O107" s="73"/>
      <c r="P107" s="73"/>
    </row>
    <row r="108" spans="1:16" s="1" customFormat="1" ht="15.6" x14ac:dyDescent="0.3">
      <c r="A108" s="31">
        <v>29</v>
      </c>
      <c r="B108" s="28" t="s">
        <v>216</v>
      </c>
      <c r="C108" s="29" t="s">
        <v>217</v>
      </c>
      <c r="D108" s="73"/>
      <c r="E108" s="73"/>
      <c r="F108" s="73"/>
      <c r="G108" s="83"/>
      <c r="H108" s="83"/>
      <c r="I108" s="73"/>
      <c r="J108" s="73"/>
      <c r="K108" s="73"/>
      <c r="L108" s="73"/>
      <c r="M108" s="73"/>
      <c r="N108" s="73"/>
      <c r="O108" s="73"/>
      <c r="P108" s="73"/>
    </row>
    <row r="109" spans="1:16" s="1" customFormat="1" ht="31.2" x14ac:dyDescent="0.3">
      <c r="A109" s="31">
        <v>30</v>
      </c>
      <c r="B109" s="28" t="s">
        <v>167</v>
      </c>
      <c r="C109" s="29" t="s">
        <v>168</v>
      </c>
      <c r="D109" s="73"/>
      <c r="E109" s="73"/>
      <c r="F109" s="73"/>
      <c r="G109" s="83"/>
      <c r="H109" s="83"/>
      <c r="I109" s="73"/>
      <c r="J109" s="73"/>
      <c r="K109" s="73"/>
      <c r="L109" s="73"/>
      <c r="M109" s="73"/>
      <c r="N109" s="73"/>
      <c r="O109" s="73"/>
      <c r="P109" s="73"/>
    </row>
    <row r="110" spans="1:16" s="1" customFormat="1" ht="15.6" x14ac:dyDescent="0.3">
      <c r="A110" s="31">
        <v>31</v>
      </c>
      <c r="B110" s="28" t="s">
        <v>169</v>
      </c>
      <c r="C110" s="29" t="s">
        <v>170</v>
      </c>
      <c r="D110" s="73"/>
      <c r="E110" s="73"/>
      <c r="F110" s="73"/>
      <c r="G110" s="83"/>
      <c r="H110" s="83"/>
      <c r="I110" s="73"/>
      <c r="J110" s="73"/>
      <c r="K110" s="73"/>
      <c r="L110" s="73"/>
      <c r="M110" s="73"/>
      <c r="N110" s="73"/>
      <c r="O110" s="73"/>
      <c r="P110" s="73"/>
    </row>
    <row r="111" spans="1:16" s="1" customFormat="1" ht="15.6" x14ac:dyDescent="0.3">
      <c r="A111" s="31">
        <v>32</v>
      </c>
      <c r="B111" s="28" t="s">
        <v>218</v>
      </c>
      <c r="C111" s="29" t="s">
        <v>219</v>
      </c>
      <c r="D111" s="73"/>
      <c r="E111" s="73"/>
      <c r="F111" s="73"/>
      <c r="G111" s="83"/>
      <c r="H111" s="83"/>
      <c r="I111" s="73"/>
      <c r="J111" s="73"/>
      <c r="K111" s="73"/>
      <c r="L111" s="73"/>
      <c r="M111" s="73"/>
      <c r="N111" s="73"/>
      <c r="O111" s="73"/>
      <c r="P111" s="73"/>
    </row>
    <row r="112" spans="1:16" s="1" customFormat="1" ht="15.6" x14ac:dyDescent="0.3">
      <c r="A112" s="31">
        <v>33</v>
      </c>
      <c r="B112" s="28" t="s">
        <v>220</v>
      </c>
      <c r="C112" s="29" t="s">
        <v>221</v>
      </c>
      <c r="D112" s="73"/>
      <c r="E112" s="73"/>
      <c r="F112" s="73"/>
      <c r="G112" s="83"/>
      <c r="H112" s="83"/>
      <c r="I112" s="73"/>
      <c r="J112" s="73"/>
      <c r="K112" s="73"/>
      <c r="L112" s="73"/>
      <c r="M112" s="73"/>
      <c r="N112" s="73"/>
      <c r="O112" s="73"/>
      <c r="P112" s="73"/>
    </row>
    <row r="113" spans="1:16" s="1" customFormat="1" ht="15.6" x14ac:dyDescent="0.3">
      <c r="A113" s="31">
        <v>34</v>
      </c>
      <c r="B113" s="28" t="s">
        <v>222</v>
      </c>
      <c r="C113" s="29" t="s">
        <v>223</v>
      </c>
      <c r="D113" s="73"/>
      <c r="E113" s="73"/>
      <c r="F113" s="73"/>
      <c r="G113" s="83"/>
      <c r="H113" s="83"/>
      <c r="I113" s="73"/>
      <c r="J113" s="73"/>
      <c r="K113" s="73"/>
      <c r="L113" s="73"/>
      <c r="M113" s="73"/>
      <c r="N113" s="73"/>
      <c r="O113" s="73"/>
      <c r="P113" s="73"/>
    </row>
    <row r="114" spans="1:16" s="1" customFormat="1" ht="15.6" x14ac:dyDescent="0.3">
      <c r="A114" s="31">
        <v>35</v>
      </c>
      <c r="B114" s="28" t="s">
        <v>224</v>
      </c>
      <c r="C114" s="29" t="s">
        <v>191</v>
      </c>
      <c r="D114" s="73"/>
      <c r="E114" s="73"/>
      <c r="F114" s="73"/>
      <c r="G114" s="83"/>
      <c r="H114" s="83"/>
      <c r="I114" s="73"/>
      <c r="J114" s="73"/>
      <c r="K114" s="73"/>
      <c r="L114" s="73"/>
      <c r="M114" s="73"/>
      <c r="N114" s="73"/>
      <c r="O114" s="73"/>
      <c r="P114" s="73"/>
    </row>
    <row r="115" spans="1:16" s="1" customFormat="1" ht="15.6" x14ac:dyDescent="0.3">
      <c r="A115" s="31">
        <v>36</v>
      </c>
      <c r="B115" s="28" t="s">
        <v>225</v>
      </c>
      <c r="C115" s="29" t="s">
        <v>181</v>
      </c>
      <c r="D115" s="73"/>
      <c r="E115" s="73"/>
      <c r="F115" s="73"/>
      <c r="G115" s="83"/>
      <c r="H115" s="83"/>
      <c r="I115" s="73"/>
      <c r="J115" s="73"/>
      <c r="K115" s="73"/>
      <c r="L115" s="73"/>
      <c r="M115" s="73"/>
      <c r="N115" s="73"/>
      <c r="O115" s="73"/>
      <c r="P115" s="73"/>
    </row>
    <row r="116" spans="1:16" s="1" customFormat="1" ht="15.6" x14ac:dyDescent="0.3">
      <c r="A116" s="31">
        <v>37</v>
      </c>
      <c r="B116" s="28" t="s">
        <v>226</v>
      </c>
      <c r="C116" s="29" t="s">
        <v>227</v>
      </c>
      <c r="D116" s="73"/>
      <c r="E116" s="73"/>
      <c r="F116" s="73"/>
      <c r="G116" s="83"/>
      <c r="H116" s="83"/>
      <c r="I116" s="73"/>
      <c r="J116" s="73"/>
      <c r="K116" s="73"/>
      <c r="L116" s="73"/>
      <c r="M116" s="73"/>
      <c r="N116" s="73"/>
      <c r="O116" s="73"/>
      <c r="P116" s="73"/>
    </row>
    <row r="117" spans="1:16" s="1" customFormat="1" ht="15.6" x14ac:dyDescent="0.3">
      <c r="A117" s="31">
        <v>38</v>
      </c>
      <c r="B117" s="28" t="s">
        <v>228</v>
      </c>
      <c r="C117" s="29" t="s">
        <v>229</v>
      </c>
      <c r="D117" s="73"/>
      <c r="E117" s="73"/>
      <c r="F117" s="73"/>
      <c r="G117" s="83"/>
      <c r="H117" s="83"/>
      <c r="I117" s="73"/>
      <c r="J117" s="73"/>
      <c r="K117" s="73"/>
      <c r="L117" s="73"/>
      <c r="M117" s="73"/>
      <c r="N117" s="73"/>
      <c r="O117" s="73"/>
      <c r="P117" s="73"/>
    </row>
    <row r="118" spans="1:16" s="1" customFormat="1" ht="46.8" x14ac:dyDescent="0.3">
      <c r="A118" s="31">
        <v>39</v>
      </c>
      <c r="B118" s="28" t="s">
        <v>230</v>
      </c>
      <c r="C118" s="29" t="s">
        <v>188</v>
      </c>
      <c r="D118" s="73"/>
      <c r="E118" s="73"/>
      <c r="F118" s="73"/>
      <c r="G118" s="83"/>
      <c r="H118" s="83"/>
      <c r="I118" s="73"/>
      <c r="J118" s="73"/>
      <c r="K118" s="73"/>
      <c r="L118" s="73"/>
      <c r="M118" s="73"/>
      <c r="N118" s="73"/>
      <c r="O118" s="73"/>
      <c r="P118" s="73"/>
    </row>
    <row r="119" spans="1:16" s="1" customFormat="1" ht="15.6" x14ac:dyDescent="0.3">
      <c r="A119" s="31">
        <v>40</v>
      </c>
      <c r="B119" s="28" t="s">
        <v>231</v>
      </c>
      <c r="C119" s="29" t="s">
        <v>232</v>
      </c>
      <c r="D119" s="73"/>
      <c r="E119" s="73"/>
      <c r="F119" s="73"/>
      <c r="G119" s="83"/>
      <c r="H119" s="83"/>
      <c r="I119" s="73"/>
      <c r="J119" s="73"/>
      <c r="K119" s="73"/>
      <c r="L119" s="73"/>
      <c r="M119" s="73"/>
      <c r="N119" s="73"/>
      <c r="O119" s="73"/>
      <c r="P119" s="73"/>
    </row>
    <row r="120" spans="1:16" s="1" customFormat="1" ht="15.6" x14ac:dyDescent="0.3">
      <c r="A120" s="31">
        <v>41</v>
      </c>
      <c r="B120" s="28" t="s">
        <v>233</v>
      </c>
      <c r="C120" s="29" t="s">
        <v>234</v>
      </c>
      <c r="D120" s="73"/>
      <c r="E120" s="73"/>
      <c r="F120" s="73"/>
      <c r="G120" s="83"/>
      <c r="H120" s="83"/>
      <c r="I120" s="73"/>
      <c r="J120" s="73"/>
      <c r="K120" s="73"/>
      <c r="L120" s="73"/>
      <c r="M120" s="73"/>
      <c r="N120" s="73"/>
      <c r="O120" s="73"/>
      <c r="P120" s="73"/>
    </row>
    <row r="121" spans="1:16" s="1" customFormat="1" ht="15.6" x14ac:dyDescent="0.3">
      <c r="A121" s="31">
        <v>42</v>
      </c>
      <c r="B121" s="28" t="s">
        <v>235</v>
      </c>
      <c r="C121" s="29" t="s">
        <v>236</v>
      </c>
      <c r="D121" s="73"/>
      <c r="E121" s="73"/>
      <c r="F121" s="73"/>
      <c r="G121" s="83"/>
      <c r="H121" s="83"/>
      <c r="I121" s="73"/>
      <c r="J121" s="73"/>
      <c r="K121" s="73"/>
      <c r="L121" s="73"/>
      <c r="M121" s="73"/>
      <c r="N121" s="73"/>
      <c r="O121" s="73"/>
      <c r="P121" s="73"/>
    </row>
    <row r="122" spans="1:16" s="1" customFormat="1" ht="15.6" x14ac:dyDescent="0.3">
      <c r="A122" s="31">
        <v>43</v>
      </c>
      <c r="B122" s="28" t="s">
        <v>237</v>
      </c>
      <c r="C122" s="29" t="s">
        <v>238</v>
      </c>
      <c r="D122" s="73"/>
      <c r="E122" s="73"/>
      <c r="F122" s="73"/>
      <c r="G122" s="83"/>
      <c r="H122" s="83"/>
      <c r="I122" s="73"/>
      <c r="J122" s="73"/>
      <c r="K122" s="73"/>
      <c r="L122" s="73"/>
      <c r="M122" s="73"/>
      <c r="N122" s="73"/>
      <c r="O122" s="73"/>
      <c r="P122" s="73"/>
    </row>
    <row r="123" spans="1:16" s="1" customFormat="1" ht="15.6" x14ac:dyDescent="0.3">
      <c r="A123" s="31">
        <v>44</v>
      </c>
      <c r="B123" s="28" t="s">
        <v>239</v>
      </c>
      <c r="C123" s="29" t="s">
        <v>240</v>
      </c>
      <c r="D123" s="73"/>
      <c r="E123" s="73"/>
      <c r="F123" s="73"/>
      <c r="G123" s="83"/>
      <c r="H123" s="83"/>
      <c r="I123" s="73"/>
      <c r="J123" s="73"/>
      <c r="K123" s="73"/>
      <c r="L123" s="73"/>
      <c r="M123" s="73"/>
      <c r="N123" s="73"/>
      <c r="O123" s="73"/>
      <c r="P123" s="73"/>
    </row>
    <row r="124" spans="1:16" s="1" customFormat="1" ht="31.2" x14ac:dyDescent="0.3">
      <c r="A124" s="31">
        <v>45</v>
      </c>
      <c r="B124" s="28" t="s">
        <v>241</v>
      </c>
      <c r="C124" s="29" t="s">
        <v>242</v>
      </c>
      <c r="D124" s="73"/>
      <c r="E124" s="73"/>
      <c r="F124" s="73"/>
      <c r="G124" s="83"/>
      <c r="H124" s="83"/>
      <c r="I124" s="73"/>
      <c r="J124" s="73"/>
      <c r="K124" s="73"/>
      <c r="L124" s="73"/>
      <c r="M124" s="73"/>
      <c r="N124" s="73"/>
      <c r="O124" s="73"/>
      <c r="P124" s="73"/>
    </row>
    <row r="125" spans="1:16" s="1" customFormat="1" ht="15.6" x14ac:dyDescent="0.3">
      <c r="A125" s="31">
        <v>46</v>
      </c>
      <c r="B125" s="28" t="s">
        <v>243</v>
      </c>
      <c r="C125" s="29" t="s">
        <v>244</v>
      </c>
      <c r="D125" s="73"/>
      <c r="E125" s="73"/>
      <c r="F125" s="73"/>
      <c r="G125" s="83"/>
      <c r="H125" s="83"/>
      <c r="I125" s="73"/>
      <c r="J125" s="73"/>
      <c r="K125" s="73"/>
      <c r="L125" s="73"/>
      <c r="M125" s="73"/>
      <c r="N125" s="73"/>
      <c r="O125" s="73"/>
      <c r="P125" s="73"/>
    </row>
    <row r="126" spans="1:16" s="1" customFormat="1" ht="31.2" x14ac:dyDescent="0.3">
      <c r="A126" s="31">
        <v>47</v>
      </c>
      <c r="B126" s="28" t="s">
        <v>245</v>
      </c>
      <c r="C126" s="29" t="s">
        <v>246</v>
      </c>
      <c r="D126" s="73"/>
      <c r="E126" s="73"/>
      <c r="F126" s="73"/>
      <c r="G126" s="83"/>
      <c r="H126" s="83"/>
      <c r="I126" s="73"/>
      <c r="J126" s="73"/>
      <c r="K126" s="73"/>
      <c r="L126" s="73"/>
      <c r="M126" s="73"/>
      <c r="N126" s="73"/>
      <c r="O126" s="73"/>
      <c r="P126" s="73"/>
    </row>
    <row r="127" spans="1:16" s="1" customFormat="1" ht="15.6" x14ac:dyDescent="0.3">
      <c r="A127" s="31">
        <v>48</v>
      </c>
      <c r="B127" s="28" t="s">
        <v>247</v>
      </c>
      <c r="C127" s="29" t="s">
        <v>248</v>
      </c>
      <c r="D127" s="73"/>
      <c r="E127" s="73"/>
      <c r="F127" s="73"/>
      <c r="G127" s="83"/>
      <c r="H127" s="83"/>
      <c r="I127" s="73"/>
      <c r="J127" s="73"/>
      <c r="K127" s="73"/>
      <c r="L127" s="73"/>
      <c r="M127" s="73"/>
      <c r="N127" s="73"/>
      <c r="O127" s="73"/>
      <c r="P127" s="73"/>
    </row>
    <row r="128" spans="1:16" s="1" customFormat="1" ht="15.6" x14ac:dyDescent="0.3">
      <c r="A128" s="31">
        <v>49</v>
      </c>
      <c r="B128" s="28" t="s">
        <v>249</v>
      </c>
      <c r="C128" s="29" t="s">
        <v>250</v>
      </c>
      <c r="D128" s="73"/>
      <c r="E128" s="73"/>
      <c r="F128" s="73"/>
      <c r="G128" s="83"/>
      <c r="H128" s="83"/>
      <c r="I128" s="73"/>
      <c r="J128" s="73"/>
      <c r="K128" s="73"/>
      <c r="L128" s="73"/>
      <c r="M128" s="73"/>
      <c r="N128" s="73"/>
      <c r="O128" s="73"/>
      <c r="P128" s="73"/>
    </row>
    <row r="129" spans="1:16" s="1" customFormat="1" ht="15.6" x14ac:dyDescent="0.3">
      <c r="A129" s="31">
        <v>50</v>
      </c>
      <c r="B129" s="28" t="s">
        <v>251</v>
      </c>
      <c r="C129" s="29" t="s">
        <v>252</v>
      </c>
      <c r="D129" s="75"/>
      <c r="E129" s="75"/>
      <c r="F129" s="75"/>
      <c r="G129" s="84"/>
      <c r="H129" s="84"/>
      <c r="I129" s="75"/>
      <c r="J129" s="75"/>
      <c r="K129" s="75"/>
      <c r="L129" s="75"/>
      <c r="M129" s="75"/>
      <c r="N129" s="75"/>
      <c r="O129" s="75"/>
      <c r="P129" s="75"/>
    </row>
    <row r="130" spans="1:16" s="1" customFormat="1" ht="18" x14ac:dyDescent="0.3">
      <c r="A130" s="38" t="s">
        <v>255</v>
      </c>
      <c r="B130" s="55" t="s">
        <v>270</v>
      </c>
      <c r="F130" s="136"/>
      <c r="G130" s="82"/>
      <c r="H130" s="82"/>
    </row>
    <row r="131" spans="1:16" s="1" customFormat="1" ht="15.6" x14ac:dyDescent="0.3">
      <c r="A131" s="33">
        <v>1</v>
      </c>
      <c r="B131" s="39" t="s">
        <v>256</v>
      </c>
      <c r="C131" s="66" t="s">
        <v>261</v>
      </c>
      <c r="D131" s="56"/>
      <c r="E131" s="56"/>
      <c r="F131" s="19">
        <v>1138</v>
      </c>
      <c r="G131" s="138">
        <v>200</v>
      </c>
      <c r="H131" s="138">
        <v>127</v>
      </c>
      <c r="I131" s="139">
        <f>F131-G131-H131</f>
        <v>811</v>
      </c>
      <c r="J131" s="42" t="s">
        <v>59</v>
      </c>
      <c r="K131" s="57" t="s">
        <v>56</v>
      </c>
      <c r="L131" s="57" t="s">
        <v>56</v>
      </c>
      <c r="M131" s="57"/>
      <c r="N131" s="67"/>
      <c r="O131" s="67"/>
      <c r="P131" s="67"/>
    </row>
    <row r="132" spans="1:16" s="1" customFormat="1" ht="15.6" x14ac:dyDescent="0.3">
      <c r="A132" s="80"/>
      <c r="B132" s="40" t="s">
        <v>257</v>
      </c>
      <c r="C132" s="68" t="s">
        <v>262</v>
      </c>
      <c r="D132" s="73"/>
      <c r="E132" s="73"/>
      <c r="F132" s="73"/>
      <c r="G132" s="83"/>
      <c r="H132" s="83"/>
      <c r="I132" s="73"/>
      <c r="J132" s="73"/>
      <c r="K132" s="73"/>
      <c r="L132" s="73"/>
      <c r="M132" s="73"/>
      <c r="N132" s="73"/>
      <c r="O132" s="73"/>
      <c r="P132" s="73"/>
    </row>
    <row r="133" spans="1:16" s="1" customFormat="1" ht="15.6" x14ac:dyDescent="0.3">
      <c r="A133" s="80"/>
      <c r="B133" s="40" t="s">
        <v>258</v>
      </c>
      <c r="C133" s="68" t="s">
        <v>263</v>
      </c>
      <c r="D133" s="73"/>
      <c r="E133" s="73"/>
      <c r="F133" s="73"/>
      <c r="G133" s="83"/>
      <c r="H133" s="83"/>
      <c r="I133" s="73"/>
      <c r="J133" s="73"/>
      <c r="K133" s="73"/>
      <c r="L133" s="73"/>
      <c r="M133" s="73"/>
      <c r="N133" s="73"/>
      <c r="O133" s="73"/>
      <c r="P133" s="73"/>
    </row>
    <row r="134" spans="1:16" s="1" customFormat="1" ht="15.6" x14ac:dyDescent="0.3">
      <c r="A134" s="80"/>
      <c r="B134" s="40" t="s">
        <v>259</v>
      </c>
      <c r="C134" s="68" t="s">
        <v>264</v>
      </c>
      <c r="D134" s="73"/>
      <c r="E134" s="73"/>
      <c r="F134" s="73"/>
      <c r="G134" s="83"/>
      <c r="H134" s="83"/>
      <c r="I134" s="73"/>
      <c r="J134" s="73"/>
      <c r="K134" s="73"/>
      <c r="L134" s="73"/>
      <c r="M134" s="73"/>
      <c r="N134" s="73"/>
      <c r="O134" s="73"/>
      <c r="P134" s="73"/>
    </row>
    <row r="135" spans="1:16" s="1" customFormat="1" ht="43.2" customHeight="1" x14ac:dyDescent="0.3">
      <c r="A135" s="81"/>
      <c r="B135" s="40" t="s">
        <v>260</v>
      </c>
      <c r="C135" s="68" t="s">
        <v>265</v>
      </c>
      <c r="D135" s="73"/>
      <c r="E135" s="73"/>
      <c r="F135" s="73"/>
      <c r="G135" s="83"/>
      <c r="H135" s="83"/>
      <c r="I135" s="73"/>
      <c r="J135" s="73"/>
      <c r="K135" s="73"/>
      <c r="L135" s="73"/>
      <c r="M135" s="73"/>
      <c r="N135" s="73"/>
      <c r="O135" s="73"/>
      <c r="P135" s="73"/>
    </row>
    <row r="136" spans="1:16" s="1" customFormat="1" ht="31.2" x14ac:dyDescent="0.3">
      <c r="A136" s="80"/>
      <c r="B136" s="40" t="s">
        <v>266</v>
      </c>
      <c r="C136" s="68" t="s">
        <v>267</v>
      </c>
      <c r="D136" s="73"/>
      <c r="E136" s="73"/>
      <c r="F136" s="73"/>
      <c r="G136" s="83"/>
      <c r="H136" s="83"/>
      <c r="I136" s="73"/>
      <c r="J136" s="73"/>
      <c r="K136" s="73"/>
      <c r="L136" s="73"/>
      <c r="M136" s="73"/>
      <c r="N136" s="73"/>
      <c r="O136" s="73"/>
      <c r="P136" s="73"/>
    </row>
    <row r="137" spans="1:16" s="1" customFormat="1" ht="15.6" x14ac:dyDescent="0.3">
      <c r="A137" s="34"/>
      <c r="B137" s="41" t="s">
        <v>268</v>
      </c>
      <c r="C137" s="74" t="s">
        <v>269</v>
      </c>
      <c r="D137" s="75"/>
      <c r="E137" s="75"/>
      <c r="F137" s="75"/>
      <c r="G137" s="84"/>
      <c r="H137" s="84"/>
      <c r="I137" s="75"/>
      <c r="J137" s="75"/>
      <c r="K137" s="75"/>
      <c r="L137" s="75"/>
      <c r="M137" s="75"/>
      <c r="N137" s="75"/>
      <c r="O137" s="75"/>
      <c r="P137" s="75"/>
    </row>
    <row r="138" spans="1:16" s="1" customFormat="1" ht="18" x14ac:dyDescent="0.3">
      <c r="A138" s="38" t="s">
        <v>255</v>
      </c>
      <c r="B138" s="55" t="s">
        <v>280</v>
      </c>
      <c r="F138" s="136"/>
      <c r="G138" s="82"/>
      <c r="H138" s="82"/>
    </row>
    <row r="139" spans="1:16" s="1" customFormat="1" ht="31.2" x14ac:dyDescent="0.3">
      <c r="A139" s="31">
        <v>1</v>
      </c>
      <c r="B139" s="28" t="s">
        <v>271</v>
      </c>
      <c r="C139" s="29" t="s">
        <v>272</v>
      </c>
      <c r="D139" s="56"/>
      <c r="E139" s="56"/>
      <c r="F139" s="19">
        <v>2396</v>
      </c>
      <c r="G139" s="138">
        <v>995</v>
      </c>
      <c r="H139" s="138">
        <v>200</v>
      </c>
      <c r="I139" s="139">
        <f>F139-G139-H139</f>
        <v>1201</v>
      </c>
      <c r="J139" s="42" t="s">
        <v>59</v>
      </c>
      <c r="K139" s="57" t="s">
        <v>56</v>
      </c>
      <c r="L139" s="57" t="s">
        <v>56</v>
      </c>
      <c r="M139" s="57"/>
      <c r="N139" s="67"/>
      <c r="O139" s="67"/>
      <c r="P139" s="67"/>
    </row>
    <row r="140" spans="1:16" s="1" customFormat="1" ht="15.6" x14ac:dyDescent="0.3">
      <c r="A140" s="31">
        <v>2</v>
      </c>
      <c r="B140" s="28" t="s">
        <v>279</v>
      </c>
      <c r="C140" s="29" t="s">
        <v>273</v>
      </c>
      <c r="D140" s="73"/>
      <c r="E140" s="73"/>
      <c r="F140" s="73"/>
      <c r="G140" s="83"/>
      <c r="H140" s="83"/>
      <c r="I140" s="73"/>
      <c r="J140" s="73"/>
      <c r="K140" s="73"/>
      <c r="L140" s="73"/>
      <c r="M140" s="73"/>
      <c r="N140" s="73"/>
      <c r="O140" s="73"/>
      <c r="P140" s="73"/>
    </row>
    <row r="141" spans="1:16" s="1" customFormat="1" ht="31.2" x14ac:dyDescent="0.3">
      <c r="A141" s="31">
        <v>3</v>
      </c>
      <c r="B141" s="28" t="s">
        <v>274</v>
      </c>
      <c r="C141" s="29" t="s">
        <v>275</v>
      </c>
      <c r="D141" s="73"/>
      <c r="E141" s="73"/>
      <c r="F141" s="73"/>
      <c r="G141" s="83"/>
      <c r="H141" s="83"/>
      <c r="I141" s="73"/>
      <c r="J141" s="73"/>
      <c r="K141" s="73"/>
      <c r="L141" s="73"/>
      <c r="M141" s="73"/>
      <c r="N141" s="73"/>
      <c r="O141" s="73"/>
      <c r="P141" s="73"/>
    </row>
    <row r="142" spans="1:16" s="1" customFormat="1" ht="15.6" x14ac:dyDescent="0.3">
      <c r="A142" s="31">
        <v>4</v>
      </c>
      <c r="B142" s="28" t="s">
        <v>276</v>
      </c>
      <c r="C142" s="29" t="s">
        <v>170</v>
      </c>
      <c r="D142" s="73"/>
      <c r="E142" s="73"/>
      <c r="F142" s="73"/>
      <c r="G142" s="83"/>
      <c r="H142" s="83"/>
      <c r="I142" s="73"/>
      <c r="J142" s="73"/>
      <c r="K142" s="73"/>
      <c r="L142" s="73"/>
      <c r="M142" s="73"/>
      <c r="N142" s="73"/>
      <c r="O142" s="73"/>
      <c r="P142" s="73"/>
    </row>
    <row r="143" spans="1:16" s="1" customFormat="1" ht="15.6" x14ac:dyDescent="0.3">
      <c r="A143" s="31">
        <v>5</v>
      </c>
      <c r="B143" s="28" t="s">
        <v>277</v>
      </c>
      <c r="C143" s="29" t="s">
        <v>278</v>
      </c>
      <c r="D143" s="73"/>
      <c r="E143" s="73"/>
      <c r="F143" s="73"/>
      <c r="G143" s="83"/>
      <c r="H143" s="83"/>
      <c r="I143" s="73"/>
      <c r="J143" s="73"/>
      <c r="K143" s="73"/>
      <c r="L143" s="73"/>
      <c r="M143" s="73"/>
      <c r="N143" s="73"/>
      <c r="O143" s="73"/>
      <c r="P143" s="73"/>
    </row>
    <row r="144" spans="1:16" s="1" customFormat="1" ht="15.6" x14ac:dyDescent="0.3">
      <c r="A144" s="31">
        <v>6</v>
      </c>
      <c r="B144" s="28" t="s">
        <v>226</v>
      </c>
      <c r="C144" s="29" t="s">
        <v>227</v>
      </c>
      <c r="D144" s="73"/>
      <c r="E144" s="73"/>
      <c r="F144" s="73"/>
      <c r="G144" s="83"/>
      <c r="H144" s="83"/>
      <c r="I144" s="73"/>
      <c r="J144" s="73"/>
      <c r="K144" s="73"/>
      <c r="L144" s="73"/>
      <c r="M144" s="73"/>
      <c r="N144" s="73"/>
      <c r="O144" s="73"/>
      <c r="P144" s="73"/>
    </row>
    <row r="145" spans="1:16" s="1" customFormat="1" ht="16.2" thickBot="1" x14ac:dyDescent="0.35">
      <c r="A145" s="31">
        <v>7</v>
      </c>
      <c r="B145" s="28" t="s">
        <v>235</v>
      </c>
      <c r="C145" s="29" t="s">
        <v>236</v>
      </c>
      <c r="D145" s="75"/>
      <c r="E145" s="75"/>
      <c r="F145" s="75"/>
      <c r="G145" s="84"/>
      <c r="H145" s="84"/>
      <c r="I145" s="75"/>
      <c r="J145" s="75"/>
      <c r="K145" s="75"/>
      <c r="L145" s="75"/>
      <c r="M145" s="75"/>
      <c r="N145" s="75"/>
      <c r="O145" s="75"/>
      <c r="P145" s="75"/>
    </row>
    <row r="146" spans="1:16" s="1" customFormat="1" ht="16.2" thickBot="1" x14ac:dyDescent="0.35">
      <c r="A146" s="21"/>
      <c r="B146" s="17" t="s">
        <v>12</v>
      </c>
      <c r="C146" s="8"/>
      <c r="D146" s="8"/>
      <c r="E146" s="8"/>
      <c r="F146" s="9">
        <f>SUM(F39:F145)</f>
        <v>21702</v>
      </c>
      <c r="G146" s="25">
        <f>SUM(G39:G145)</f>
        <v>1541.85</v>
      </c>
      <c r="H146" s="25"/>
      <c r="I146" s="10">
        <f>SUM(I39:I145)</f>
        <v>14500.15</v>
      </c>
      <c r="J146" s="10"/>
      <c r="K146" s="10">
        <f t="shared" ref="K146:P146" si="2">SUM(K120:K140)</f>
        <v>0</v>
      </c>
      <c r="L146" s="10">
        <f t="shared" si="2"/>
        <v>0</v>
      </c>
      <c r="M146" s="10">
        <f t="shared" si="2"/>
        <v>0</v>
      </c>
      <c r="N146" s="10">
        <f t="shared" si="2"/>
        <v>0</v>
      </c>
      <c r="O146" s="10">
        <f t="shared" si="2"/>
        <v>0</v>
      </c>
      <c r="P146" s="11">
        <f t="shared" si="2"/>
        <v>0</v>
      </c>
    </row>
    <row r="147" spans="1:16" s="1" customFormat="1" ht="16.2" customHeight="1" x14ac:dyDescent="0.3">
      <c r="A147" s="45" t="s">
        <v>61</v>
      </c>
      <c r="B147" s="54" t="s">
        <v>60</v>
      </c>
      <c r="C147" s="27"/>
      <c r="D147" s="46"/>
      <c r="E147" s="46"/>
      <c r="F147" s="133"/>
      <c r="G147" s="134"/>
      <c r="H147" s="134"/>
      <c r="I147" s="135"/>
      <c r="J147" s="47"/>
      <c r="K147" s="43"/>
      <c r="L147" s="43"/>
      <c r="M147" s="43"/>
      <c r="N147" s="43"/>
      <c r="O147" s="43"/>
      <c r="P147" s="48"/>
    </row>
    <row r="148" spans="1:16" s="1" customFormat="1" ht="43.8" customHeight="1" x14ac:dyDescent="0.3">
      <c r="A148" s="38">
        <v>1</v>
      </c>
      <c r="B148" s="28" t="s">
        <v>62</v>
      </c>
      <c r="C148" s="29" t="s">
        <v>63</v>
      </c>
      <c r="D148" s="49">
        <v>46179</v>
      </c>
      <c r="E148" s="49">
        <v>46543</v>
      </c>
      <c r="F148" s="130" t="s">
        <v>291</v>
      </c>
      <c r="G148" s="130"/>
      <c r="H148" s="130"/>
      <c r="I148" s="130"/>
      <c r="J148" s="26" t="s">
        <v>59</v>
      </c>
      <c r="K148" s="50"/>
      <c r="L148" s="50"/>
      <c r="M148" s="173" t="s">
        <v>356</v>
      </c>
      <c r="N148" s="50"/>
      <c r="O148" s="50"/>
      <c r="P148" s="51"/>
    </row>
    <row r="149" spans="1:16" s="1" customFormat="1" ht="18" customHeight="1" x14ac:dyDescent="0.3">
      <c r="A149" s="38">
        <v>2</v>
      </c>
      <c r="B149" s="28" t="s">
        <v>64</v>
      </c>
      <c r="C149" s="29" t="s">
        <v>65</v>
      </c>
      <c r="D149" s="49">
        <v>46179</v>
      </c>
      <c r="E149" s="49">
        <v>46543</v>
      </c>
      <c r="F149" s="130" t="s">
        <v>291</v>
      </c>
      <c r="G149" s="130"/>
      <c r="H149" s="130"/>
      <c r="I149" s="130"/>
      <c r="J149" s="26" t="s">
        <v>59</v>
      </c>
      <c r="K149" s="50"/>
      <c r="L149" s="50"/>
      <c r="M149" s="174"/>
      <c r="N149" s="52"/>
      <c r="O149" s="52"/>
      <c r="P149" s="53"/>
    </row>
    <row r="150" spans="1:16" s="1" customFormat="1" ht="15.6" x14ac:dyDescent="0.3">
      <c r="A150" s="38">
        <v>3</v>
      </c>
      <c r="B150" s="28" t="s">
        <v>66</v>
      </c>
      <c r="C150" s="29" t="s">
        <v>67</v>
      </c>
      <c r="D150" s="49">
        <v>46179</v>
      </c>
      <c r="E150" s="49">
        <v>46543</v>
      </c>
      <c r="F150" s="130" t="s">
        <v>291</v>
      </c>
      <c r="G150" s="130"/>
      <c r="H150" s="130"/>
      <c r="I150" s="130"/>
      <c r="J150" s="26" t="s">
        <v>59</v>
      </c>
      <c r="K150" s="50"/>
      <c r="L150" s="50"/>
      <c r="M150" s="174"/>
      <c r="N150" s="52"/>
      <c r="O150" s="52"/>
      <c r="P150" s="53"/>
    </row>
    <row r="151" spans="1:16" s="1" customFormat="1" ht="15.6" x14ac:dyDescent="0.3">
      <c r="A151" s="38">
        <v>4</v>
      </c>
      <c r="B151" s="28" t="s">
        <v>68</v>
      </c>
      <c r="C151" s="29" t="s">
        <v>69</v>
      </c>
      <c r="D151" s="49">
        <v>46179</v>
      </c>
      <c r="E151" s="49">
        <v>46543</v>
      </c>
      <c r="F151" s="130" t="s">
        <v>291</v>
      </c>
      <c r="G151" s="130"/>
      <c r="H151" s="130"/>
      <c r="I151" s="130"/>
      <c r="J151" s="26" t="s">
        <v>59</v>
      </c>
      <c r="K151" s="50"/>
      <c r="L151" s="50"/>
      <c r="M151" s="174"/>
      <c r="N151" s="52"/>
      <c r="O151" s="52"/>
      <c r="P151" s="53"/>
    </row>
    <row r="152" spans="1:16" s="1" customFormat="1" ht="15.6" x14ac:dyDescent="0.3">
      <c r="A152" s="38">
        <v>5</v>
      </c>
      <c r="B152" s="28" t="s">
        <v>66</v>
      </c>
      <c r="C152" s="29" t="s">
        <v>70</v>
      </c>
      <c r="D152" s="49">
        <v>46179</v>
      </c>
      <c r="E152" s="49">
        <v>46543</v>
      </c>
      <c r="F152" s="130" t="s">
        <v>291</v>
      </c>
      <c r="G152" s="130"/>
      <c r="H152" s="130"/>
      <c r="I152" s="130"/>
      <c r="J152" s="26" t="s">
        <v>59</v>
      </c>
      <c r="K152" s="50"/>
      <c r="L152" s="50"/>
      <c r="M152" s="174"/>
      <c r="N152" s="52"/>
      <c r="O152" s="52"/>
      <c r="P152" s="53"/>
    </row>
    <row r="153" spans="1:16" s="1" customFormat="1" ht="31.2" x14ac:dyDescent="0.3">
      <c r="A153" s="38">
        <v>6</v>
      </c>
      <c r="B153" s="28" t="s">
        <v>71</v>
      </c>
      <c r="C153" s="29" t="s">
        <v>72</v>
      </c>
      <c r="D153" s="49">
        <v>46179</v>
      </c>
      <c r="E153" s="49">
        <v>46543</v>
      </c>
      <c r="F153" s="130" t="s">
        <v>291</v>
      </c>
      <c r="G153" s="130"/>
      <c r="H153" s="130"/>
      <c r="I153" s="130"/>
      <c r="J153" s="26" t="s">
        <v>59</v>
      </c>
      <c r="K153" s="50"/>
      <c r="L153" s="50"/>
      <c r="M153" s="174"/>
      <c r="N153" s="52"/>
      <c r="O153" s="52"/>
      <c r="P153" s="53"/>
    </row>
    <row r="154" spans="1:16" s="1" customFormat="1" ht="15.6" x14ac:dyDescent="0.3">
      <c r="A154" s="38">
        <v>7</v>
      </c>
      <c r="B154" s="28" t="s">
        <v>64</v>
      </c>
      <c r="C154" s="29" t="s">
        <v>73</v>
      </c>
      <c r="D154" s="49">
        <v>46179</v>
      </c>
      <c r="E154" s="49">
        <v>46543</v>
      </c>
      <c r="F154" s="130" t="s">
        <v>291</v>
      </c>
      <c r="G154" s="130"/>
      <c r="H154" s="130"/>
      <c r="I154" s="130"/>
      <c r="J154" s="26" t="s">
        <v>59</v>
      </c>
      <c r="K154" s="50"/>
      <c r="L154" s="50"/>
      <c r="M154" s="174"/>
      <c r="N154" s="52"/>
      <c r="O154" s="52"/>
      <c r="P154" s="53"/>
    </row>
    <row r="155" spans="1:16" s="1" customFormat="1" ht="15.6" x14ac:dyDescent="0.3">
      <c r="A155" s="38">
        <v>8</v>
      </c>
      <c r="B155" s="28" t="s">
        <v>74</v>
      </c>
      <c r="C155" s="29" t="s">
        <v>75</v>
      </c>
      <c r="D155" s="49">
        <v>46179</v>
      </c>
      <c r="E155" s="49">
        <v>46543</v>
      </c>
      <c r="F155" s="130" t="s">
        <v>291</v>
      </c>
      <c r="G155" s="130"/>
      <c r="H155" s="130"/>
      <c r="I155" s="130"/>
      <c r="J155" s="26" t="s">
        <v>59</v>
      </c>
      <c r="K155" s="50"/>
      <c r="L155" s="50"/>
      <c r="M155" s="174"/>
      <c r="N155" s="52"/>
      <c r="O155" s="52"/>
      <c r="P155" s="53"/>
    </row>
    <row r="156" spans="1:16" s="1" customFormat="1" ht="15.6" x14ac:dyDescent="0.3">
      <c r="A156" s="38">
        <v>9</v>
      </c>
      <c r="B156" s="30" t="s">
        <v>76</v>
      </c>
      <c r="C156" s="29" t="s">
        <v>77</v>
      </c>
      <c r="D156" s="49">
        <v>46179</v>
      </c>
      <c r="E156" s="49">
        <v>46543</v>
      </c>
      <c r="F156" s="130" t="s">
        <v>291</v>
      </c>
      <c r="G156" s="130"/>
      <c r="H156" s="130"/>
      <c r="I156" s="130"/>
      <c r="J156" s="26" t="s">
        <v>59</v>
      </c>
      <c r="K156" s="50"/>
      <c r="L156" s="50"/>
      <c r="M156" s="174"/>
      <c r="N156" s="52"/>
      <c r="O156" s="52"/>
      <c r="P156" s="53"/>
    </row>
    <row r="157" spans="1:16" s="1" customFormat="1" ht="15.6" x14ac:dyDescent="0.3">
      <c r="A157" s="38">
        <v>10</v>
      </c>
      <c r="B157" s="30" t="s">
        <v>78</v>
      </c>
      <c r="C157" s="29" t="s">
        <v>79</v>
      </c>
      <c r="D157" s="49">
        <v>46179</v>
      </c>
      <c r="E157" s="49">
        <v>46543</v>
      </c>
      <c r="F157" s="130" t="s">
        <v>291</v>
      </c>
      <c r="G157" s="130"/>
      <c r="H157" s="130"/>
      <c r="I157" s="130"/>
      <c r="J157" s="26" t="s">
        <v>59</v>
      </c>
      <c r="K157" s="50"/>
      <c r="L157" s="50"/>
      <c r="M157" s="174"/>
      <c r="N157" s="52"/>
      <c r="O157" s="52"/>
      <c r="P157" s="53"/>
    </row>
    <row r="158" spans="1:16" s="1" customFormat="1" ht="15.6" x14ac:dyDescent="0.3">
      <c r="A158" s="38">
        <v>11</v>
      </c>
      <c r="B158" s="30" t="s">
        <v>64</v>
      </c>
      <c r="C158" s="29" t="s">
        <v>80</v>
      </c>
      <c r="D158" s="49">
        <v>46179</v>
      </c>
      <c r="E158" s="49">
        <v>46543</v>
      </c>
      <c r="F158" s="130" t="s">
        <v>291</v>
      </c>
      <c r="G158" s="130"/>
      <c r="H158" s="130"/>
      <c r="I158" s="130"/>
      <c r="J158" s="26" t="s">
        <v>59</v>
      </c>
      <c r="K158" s="50"/>
      <c r="L158" s="50"/>
      <c r="M158" s="174"/>
      <c r="N158" s="52"/>
      <c r="O158" s="52"/>
      <c r="P158" s="53"/>
    </row>
    <row r="159" spans="1:16" s="1" customFormat="1" ht="15.6" x14ac:dyDescent="0.3">
      <c r="A159" s="38">
        <v>12</v>
      </c>
      <c r="B159" s="30" t="s">
        <v>81</v>
      </c>
      <c r="C159" s="29" t="s">
        <v>82</v>
      </c>
      <c r="D159" s="49">
        <v>46179</v>
      </c>
      <c r="E159" s="49">
        <v>46543</v>
      </c>
      <c r="F159" s="130" t="s">
        <v>291</v>
      </c>
      <c r="G159" s="130"/>
      <c r="H159" s="130"/>
      <c r="I159" s="130"/>
      <c r="J159" s="26" t="s">
        <v>59</v>
      </c>
      <c r="K159" s="50"/>
      <c r="L159" s="50"/>
      <c r="M159" s="174"/>
      <c r="N159" s="52"/>
      <c r="O159" s="52"/>
      <c r="P159" s="53"/>
    </row>
    <row r="160" spans="1:16" s="1" customFormat="1" ht="15.6" x14ac:dyDescent="0.3">
      <c r="A160" s="38">
        <v>13</v>
      </c>
      <c r="B160" s="28" t="s">
        <v>83</v>
      </c>
      <c r="C160" s="29" t="s">
        <v>84</v>
      </c>
      <c r="D160" s="49">
        <v>46179</v>
      </c>
      <c r="E160" s="49">
        <v>46543</v>
      </c>
      <c r="F160" s="130" t="s">
        <v>291</v>
      </c>
      <c r="G160" s="130"/>
      <c r="H160" s="130"/>
      <c r="I160" s="130"/>
      <c r="J160" s="26" t="s">
        <v>59</v>
      </c>
      <c r="K160" s="50"/>
      <c r="L160" s="50"/>
      <c r="M160" s="174"/>
      <c r="N160" s="52"/>
      <c r="O160" s="52"/>
      <c r="P160" s="53"/>
    </row>
    <row r="161" spans="1:16" s="1" customFormat="1" ht="15.6" x14ac:dyDescent="0.3">
      <c r="A161" s="38">
        <v>14</v>
      </c>
      <c r="B161" s="28" t="s">
        <v>85</v>
      </c>
      <c r="C161" s="29" t="s">
        <v>86</v>
      </c>
      <c r="D161" s="49">
        <v>46179</v>
      </c>
      <c r="E161" s="49">
        <v>46543</v>
      </c>
      <c r="F161" s="130" t="s">
        <v>291</v>
      </c>
      <c r="G161" s="130"/>
      <c r="H161" s="130"/>
      <c r="I161" s="130"/>
      <c r="J161" s="26" t="s">
        <v>59</v>
      </c>
      <c r="K161" s="50"/>
      <c r="L161" s="50"/>
      <c r="M161" s="174"/>
      <c r="N161" s="52"/>
      <c r="O161" s="52"/>
      <c r="P161" s="53"/>
    </row>
    <row r="162" spans="1:16" s="1" customFormat="1" ht="15.6" x14ac:dyDescent="0.3">
      <c r="A162" s="38">
        <v>15</v>
      </c>
      <c r="B162" s="28" t="s">
        <v>87</v>
      </c>
      <c r="C162" s="29" t="s">
        <v>88</v>
      </c>
      <c r="D162" s="49">
        <v>46179</v>
      </c>
      <c r="E162" s="49">
        <v>46543</v>
      </c>
      <c r="F162" s="130" t="s">
        <v>291</v>
      </c>
      <c r="G162" s="130"/>
      <c r="H162" s="130"/>
      <c r="I162" s="130"/>
      <c r="J162" s="26" t="s">
        <v>59</v>
      </c>
      <c r="K162" s="50"/>
      <c r="L162" s="50"/>
      <c r="M162" s="174"/>
      <c r="N162" s="52"/>
      <c r="O162" s="52"/>
      <c r="P162" s="53"/>
    </row>
    <row r="163" spans="1:16" s="1" customFormat="1" ht="15.6" x14ac:dyDescent="0.3">
      <c r="A163" s="38">
        <v>16</v>
      </c>
      <c r="B163" s="28" t="s">
        <v>89</v>
      </c>
      <c r="C163" s="29" t="s">
        <v>90</v>
      </c>
      <c r="D163" s="49">
        <v>46179</v>
      </c>
      <c r="E163" s="49">
        <v>46543</v>
      </c>
      <c r="F163" s="130" t="s">
        <v>291</v>
      </c>
      <c r="G163" s="130"/>
      <c r="H163" s="130"/>
      <c r="I163" s="130"/>
      <c r="J163" s="26" t="s">
        <v>59</v>
      </c>
      <c r="K163" s="50"/>
      <c r="L163" s="50"/>
      <c r="M163" s="174"/>
      <c r="N163" s="52"/>
      <c r="O163" s="52"/>
      <c r="P163" s="53"/>
    </row>
    <row r="164" spans="1:16" s="1" customFormat="1" ht="15.6" x14ac:dyDescent="0.3">
      <c r="A164" s="38">
        <v>17</v>
      </c>
      <c r="B164" s="131" t="s">
        <v>91</v>
      </c>
      <c r="C164" s="127" t="s">
        <v>92</v>
      </c>
      <c r="D164" s="49">
        <v>46179</v>
      </c>
      <c r="E164" s="49">
        <v>46543</v>
      </c>
      <c r="F164" s="130" t="s">
        <v>291</v>
      </c>
      <c r="G164" s="130"/>
      <c r="H164" s="130"/>
      <c r="I164" s="130"/>
      <c r="J164" s="26" t="s">
        <v>59</v>
      </c>
      <c r="K164" s="50"/>
      <c r="L164" s="50"/>
      <c r="M164" s="174"/>
      <c r="N164" s="52"/>
      <c r="O164" s="52"/>
      <c r="P164" s="53"/>
    </row>
    <row r="165" spans="1:16" s="1" customFormat="1" ht="15.6" x14ac:dyDescent="0.3">
      <c r="A165" s="38">
        <v>18</v>
      </c>
      <c r="B165" s="131"/>
      <c r="C165" s="127"/>
      <c r="D165" s="49">
        <v>46179</v>
      </c>
      <c r="E165" s="49">
        <v>46543</v>
      </c>
      <c r="F165" s="130" t="s">
        <v>291</v>
      </c>
      <c r="G165" s="130"/>
      <c r="H165" s="130"/>
      <c r="I165" s="130"/>
      <c r="J165" s="26" t="s">
        <v>59</v>
      </c>
      <c r="K165" s="50"/>
      <c r="L165" s="50"/>
      <c r="M165" s="174"/>
      <c r="N165" s="52"/>
      <c r="O165" s="52"/>
      <c r="P165" s="53"/>
    </row>
    <row r="166" spans="1:16" s="1" customFormat="1" ht="27" customHeight="1" x14ac:dyDescent="0.3">
      <c r="A166" s="35">
        <v>19</v>
      </c>
      <c r="B166" s="28" t="s">
        <v>93</v>
      </c>
      <c r="C166" s="127" t="s">
        <v>94</v>
      </c>
      <c r="D166" s="49">
        <v>46179</v>
      </c>
      <c r="E166" s="49">
        <v>46543</v>
      </c>
      <c r="F166" s="130" t="s">
        <v>291</v>
      </c>
      <c r="G166" s="130"/>
      <c r="H166" s="130"/>
      <c r="I166" s="130"/>
      <c r="J166" s="42" t="s">
        <v>59</v>
      </c>
      <c r="K166" s="57"/>
      <c r="L166" s="57"/>
      <c r="M166" s="174"/>
      <c r="N166" s="58"/>
      <c r="O166" s="58"/>
      <c r="P166" s="59"/>
    </row>
    <row r="167" spans="1:16" s="1" customFormat="1" ht="15.6" x14ac:dyDescent="0.3">
      <c r="A167" s="36"/>
      <c r="B167" s="28" t="s">
        <v>98</v>
      </c>
      <c r="C167" s="127"/>
      <c r="D167" s="60"/>
      <c r="E167" s="60"/>
      <c r="F167" s="129"/>
      <c r="G167" s="129"/>
      <c r="H167" s="129"/>
      <c r="I167" s="129"/>
      <c r="J167" s="44"/>
      <c r="K167" s="61"/>
      <c r="L167" s="61"/>
      <c r="M167" s="174"/>
      <c r="N167" s="62"/>
      <c r="O167" s="62"/>
      <c r="P167" s="63"/>
    </row>
    <row r="168" spans="1:16" s="1" customFormat="1" ht="15.6" x14ac:dyDescent="0.3">
      <c r="A168" s="35">
        <v>20</v>
      </c>
      <c r="B168" s="28" t="s">
        <v>95</v>
      </c>
      <c r="C168" s="127" t="s">
        <v>97</v>
      </c>
      <c r="D168" s="49">
        <v>46179</v>
      </c>
      <c r="E168" s="49">
        <v>46543</v>
      </c>
      <c r="F168" s="130" t="s">
        <v>291</v>
      </c>
      <c r="G168" s="130"/>
      <c r="H168" s="130"/>
      <c r="I168" s="130"/>
      <c r="J168" s="42" t="s">
        <v>59</v>
      </c>
      <c r="K168" s="57"/>
      <c r="L168" s="57"/>
      <c r="M168" s="174"/>
      <c r="N168" s="58"/>
      <c r="O168" s="58"/>
      <c r="P168" s="59"/>
    </row>
    <row r="169" spans="1:16" s="1" customFormat="1" ht="22.2" customHeight="1" x14ac:dyDescent="0.3">
      <c r="A169" s="36"/>
      <c r="B169" s="28" t="s">
        <v>96</v>
      </c>
      <c r="C169" s="127"/>
      <c r="D169" s="60"/>
      <c r="E169" s="60"/>
      <c r="F169" s="129"/>
      <c r="G169" s="129"/>
      <c r="H169" s="129"/>
      <c r="I169" s="129"/>
      <c r="J169" s="44"/>
      <c r="K169" s="61"/>
      <c r="L169" s="61"/>
      <c r="M169" s="175"/>
      <c r="N169" s="62"/>
      <c r="O169" s="62"/>
      <c r="P169" s="63"/>
    </row>
    <row r="170" spans="1:16" s="1" customFormat="1" x14ac:dyDescent="0.3">
      <c r="A170" s="141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</row>
    <row r="171" spans="1:16" s="1" customFormat="1" ht="31.8" customHeight="1" thickBot="1" x14ac:dyDescent="0.35">
      <c r="A171" s="179"/>
      <c r="B171" s="153" t="s">
        <v>293</v>
      </c>
      <c r="C171" s="154"/>
      <c r="D171" s="56">
        <v>46179</v>
      </c>
      <c r="E171" s="56">
        <v>46543</v>
      </c>
      <c r="F171" s="128" t="s">
        <v>291</v>
      </c>
      <c r="G171" s="128"/>
      <c r="H171" s="128"/>
      <c r="I171" s="128"/>
      <c r="J171" s="42" t="s">
        <v>59</v>
      </c>
      <c r="K171" s="57"/>
      <c r="L171" s="57"/>
      <c r="M171" s="173" t="s">
        <v>356</v>
      </c>
      <c r="N171" s="150"/>
      <c r="O171" s="150"/>
      <c r="P171" s="150"/>
    </row>
    <row r="172" spans="1:16" s="1" customFormat="1" ht="31.8" thickBot="1" x14ac:dyDescent="0.35">
      <c r="A172" s="31">
        <v>1</v>
      </c>
      <c r="B172" s="155" t="s">
        <v>294</v>
      </c>
      <c r="C172" s="156" t="s">
        <v>295</v>
      </c>
      <c r="D172" s="149"/>
      <c r="E172" s="149"/>
      <c r="F172" s="167"/>
      <c r="G172" s="168"/>
      <c r="H172" s="168"/>
      <c r="I172" s="169"/>
      <c r="J172" s="77"/>
      <c r="K172" s="79"/>
      <c r="L172" s="79"/>
      <c r="M172" s="174"/>
      <c r="N172" s="151"/>
      <c r="O172" s="151"/>
      <c r="P172" s="151"/>
    </row>
    <row r="173" spans="1:16" s="1" customFormat="1" ht="31.8" thickBot="1" x14ac:dyDescent="0.35">
      <c r="A173" s="31">
        <v>2</v>
      </c>
      <c r="B173" s="155" t="s">
        <v>296</v>
      </c>
      <c r="C173" s="156" t="s">
        <v>297</v>
      </c>
      <c r="D173" s="151"/>
      <c r="E173" s="151"/>
      <c r="F173" s="170"/>
      <c r="G173" s="171"/>
      <c r="H173" s="171"/>
      <c r="I173" s="172"/>
      <c r="J173" s="177"/>
      <c r="K173" s="178"/>
      <c r="L173" s="178"/>
      <c r="M173" s="176"/>
      <c r="N173" s="151"/>
      <c r="O173" s="151"/>
      <c r="P173" s="151"/>
    </row>
    <row r="174" spans="1:16" s="1" customFormat="1" ht="16.2" thickBot="1" x14ac:dyDescent="0.35">
      <c r="A174" s="31">
        <v>3</v>
      </c>
      <c r="B174" s="155" t="s">
        <v>298</v>
      </c>
      <c r="C174" s="156" t="s">
        <v>299</v>
      </c>
      <c r="D174" s="151"/>
      <c r="E174" s="151"/>
      <c r="F174" s="143"/>
      <c r="G174" s="144"/>
      <c r="H174" s="144"/>
      <c r="I174" s="145"/>
      <c r="J174" s="177"/>
      <c r="K174" s="178"/>
      <c r="L174" s="178"/>
      <c r="M174" s="176"/>
      <c r="N174" s="151"/>
      <c r="O174" s="151"/>
      <c r="P174" s="151"/>
    </row>
    <row r="175" spans="1:16" s="1" customFormat="1" ht="31.8" thickBot="1" x14ac:dyDescent="0.35">
      <c r="A175" s="31">
        <v>4</v>
      </c>
      <c r="B175" s="155" t="s">
        <v>300</v>
      </c>
      <c r="C175" s="156" t="s">
        <v>301</v>
      </c>
      <c r="D175" s="151"/>
      <c r="E175" s="151"/>
      <c r="F175" s="143"/>
      <c r="G175" s="144"/>
      <c r="H175" s="144"/>
      <c r="I175" s="145"/>
      <c r="J175" s="177"/>
      <c r="K175" s="178"/>
      <c r="L175" s="178"/>
      <c r="M175" s="176"/>
      <c r="N175" s="151"/>
      <c r="O175" s="151"/>
      <c r="P175" s="151"/>
    </row>
    <row r="176" spans="1:16" s="1" customFormat="1" ht="16.2" thickBot="1" x14ac:dyDescent="0.35">
      <c r="A176" s="31">
        <v>5</v>
      </c>
      <c r="B176" s="155" t="s">
        <v>302</v>
      </c>
      <c r="C176" s="156" t="s">
        <v>303</v>
      </c>
      <c r="D176" s="151"/>
      <c r="E176" s="151"/>
      <c r="F176" s="143"/>
      <c r="G176" s="144"/>
      <c r="H176" s="144"/>
      <c r="I176" s="145"/>
      <c r="J176" s="177"/>
      <c r="K176" s="178"/>
      <c r="L176" s="178"/>
      <c r="M176" s="176"/>
      <c r="N176" s="151"/>
      <c r="O176" s="151"/>
      <c r="P176" s="151"/>
    </row>
    <row r="177" spans="1:16" s="1" customFormat="1" ht="16.2" thickBot="1" x14ac:dyDescent="0.35">
      <c r="A177" s="31">
        <v>6</v>
      </c>
      <c r="B177" s="155" t="s">
        <v>304</v>
      </c>
      <c r="C177" s="156" t="s">
        <v>305</v>
      </c>
      <c r="D177" s="151"/>
      <c r="E177" s="151"/>
      <c r="F177" s="143"/>
      <c r="G177" s="144"/>
      <c r="H177" s="144"/>
      <c r="I177" s="145"/>
      <c r="J177" s="177"/>
      <c r="K177" s="178"/>
      <c r="L177" s="178"/>
      <c r="M177" s="176"/>
      <c r="N177" s="151"/>
      <c r="O177" s="151"/>
      <c r="P177" s="151"/>
    </row>
    <row r="178" spans="1:16" s="1" customFormat="1" ht="31.8" thickBot="1" x14ac:dyDescent="0.35">
      <c r="A178" s="31">
        <v>7</v>
      </c>
      <c r="B178" s="155" t="s">
        <v>306</v>
      </c>
      <c r="C178" s="156" t="s">
        <v>307</v>
      </c>
      <c r="D178" s="151"/>
      <c r="E178" s="151"/>
      <c r="F178" s="143"/>
      <c r="G178" s="144"/>
      <c r="H178" s="144"/>
      <c r="I178" s="145"/>
      <c r="J178" s="177"/>
      <c r="K178" s="178"/>
      <c r="L178" s="178"/>
      <c r="M178" s="176"/>
      <c r="N178" s="151"/>
      <c r="O178" s="151"/>
      <c r="P178" s="151"/>
    </row>
    <row r="179" spans="1:16" s="1" customFormat="1" ht="31.8" thickBot="1" x14ac:dyDescent="0.35">
      <c r="A179" s="31">
        <v>8</v>
      </c>
      <c r="B179" s="155" t="s">
        <v>308</v>
      </c>
      <c r="C179" s="156" t="s">
        <v>299</v>
      </c>
      <c r="D179" s="151"/>
      <c r="E179" s="151"/>
      <c r="F179" s="143"/>
      <c r="G179" s="144"/>
      <c r="H179" s="144"/>
      <c r="I179" s="145"/>
      <c r="J179" s="177"/>
      <c r="K179" s="178"/>
      <c r="L179" s="178"/>
      <c r="M179" s="176"/>
      <c r="N179" s="151"/>
      <c r="O179" s="151"/>
      <c r="P179" s="151"/>
    </row>
    <row r="180" spans="1:16" s="1" customFormat="1" ht="16.2" thickBot="1" x14ac:dyDescent="0.35">
      <c r="A180" s="31">
        <v>9</v>
      </c>
      <c r="B180" s="155" t="s">
        <v>309</v>
      </c>
      <c r="C180" s="156" t="s">
        <v>310</v>
      </c>
      <c r="D180" s="151"/>
      <c r="E180" s="151"/>
      <c r="F180" s="143"/>
      <c r="G180" s="144"/>
      <c r="H180" s="144"/>
      <c r="I180" s="145"/>
      <c r="J180" s="177"/>
      <c r="K180" s="178"/>
      <c r="L180" s="178"/>
      <c r="M180" s="176"/>
      <c r="N180" s="151"/>
      <c r="O180" s="151"/>
      <c r="P180" s="151"/>
    </row>
    <row r="181" spans="1:16" s="1" customFormat="1" ht="16.2" thickBot="1" x14ac:dyDescent="0.35">
      <c r="A181" s="31">
        <v>10</v>
      </c>
      <c r="B181" s="155" t="s">
        <v>311</v>
      </c>
      <c r="C181" s="156" t="s">
        <v>310</v>
      </c>
      <c r="D181" s="151"/>
      <c r="E181" s="151"/>
      <c r="F181" s="143"/>
      <c r="G181" s="144"/>
      <c r="H181" s="144"/>
      <c r="I181" s="145"/>
      <c r="J181" s="177"/>
      <c r="K181" s="178"/>
      <c r="L181" s="178"/>
      <c r="M181" s="176"/>
      <c r="N181" s="151"/>
      <c r="O181" s="151"/>
      <c r="P181" s="151"/>
    </row>
    <row r="182" spans="1:16" s="1" customFormat="1" ht="16.2" thickBot="1" x14ac:dyDescent="0.35">
      <c r="A182" s="31">
        <v>11</v>
      </c>
      <c r="B182" s="155" t="s">
        <v>312</v>
      </c>
      <c r="C182" s="156" t="s">
        <v>313</v>
      </c>
      <c r="D182" s="151"/>
      <c r="E182" s="151"/>
      <c r="F182" s="143"/>
      <c r="G182" s="144"/>
      <c r="H182" s="144"/>
      <c r="I182" s="145"/>
      <c r="J182" s="177"/>
      <c r="K182" s="178"/>
      <c r="L182" s="178"/>
      <c r="M182" s="176"/>
      <c r="N182" s="151"/>
      <c r="O182" s="151"/>
      <c r="P182" s="151"/>
    </row>
    <row r="183" spans="1:16" s="1" customFormat="1" ht="31.8" thickBot="1" x14ac:dyDescent="0.35">
      <c r="A183" s="31">
        <v>12</v>
      </c>
      <c r="B183" s="155" t="s">
        <v>314</v>
      </c>
      <c r="C183" s="156" t="s">
        <v>315</v>
      </c>
      <c r="D183" s="151"/>
      <c r="E183" s="151"/>
      <c r="F183" s="143"/>
      <c r="G183" s="144"/>
      <c r="H183" s="144"/>
      <c r="I183" s="145"/>
      <c r="J183" s="177"/>
      <c r="K183" s="178"/>
      <c r="L183" s="178"/>
      <c r="M183" s="176"/>
      <c r="N183" s="151"/>
      <c r="O183" s="151"/>
      <c r="P183" s="151"/>
    </row>
    <row r="184" spans="1:16" s="1" customFormat="1" ht="31.8" thickBot="1" x14ac:dyDescent="0.35">
      <c r="A184" s="31">
        <v>13</v>
      </c>
      <c r="B184" s="155" t="s">
        <v>316</v>
      </c>
      <c r="C184" s="156" t="s">
        <v>317</v>
      </c>
      <c r="D184" s="151"/>
      <c r="E184" s="151"/>
      <c r="F184" s="143"/>
      <c r="G184" s="144"/>
      <c r="H184" s="144"/>
      <c r="I184" s="145"/>
      <c r="J184" s="177"/>
      <c r="K184" s="178"/>
      <c r="L184" s="178"/>
      <c r="M184" s="176"/>
      <c r="N184" s="151"/>
      <c r="O184" s="151"/>
      <c r="P184" s="151"/>
    </row>
    <row r="185" spans="1:16" s="1" customFormat="1" ht="31.8" thickBot="1" x14ac:dyDescent="0.35">
      <c r="A185" s="31">
        <v>14</v>
      </c>
      <c r="B185" s="155" t="s">
        <v>318</v>
      </c>
      <c r="C185" s="156" t="s">
        <v>319</v>
      </c>
      <c r="D185" s="151"/>
      <c r="E185" s="151"/>
      <c r="F185" s="143"/>
      <c r="G185" s="144"/>
      <c r="H185" s="144"/>
      <c r="I185" s="145"/>
      <c r="J185" s="177"/>
      <c r="K185" s="178"/>
      <c r="L185" s="178"/>
      <c r="M185" s="176"/>
      <c r="N185" s="151"/>
      <c r="O185" s="151"/>
      <c r="P185" s="151"/>
    </row>
    <row r="186" spans="1:16" s="1" customFormat="1" ht="16.2" thickBot="1" x14ac:dyDescent="0.35">
      <c r="A186" s="31">
        <v>15</v>
      </c>
      <c r="B186" s="155" t="s">
        <v>320</v>
      </c>
      <c r="C186" s="156" t="s">
        <v>44</v>
      </c>
      <c r="D186" s="151"/>
      <c r="E186" s="151"/>
      <c r="F186" s="143"/>
      <c r="G186" s="144"/>
      <c r="H186" s="144"/>
      <c r="I186" s="145"/>
      <c r="J186" s="177"/>
      <c r="K186" s="178"/>
      <c r="L186" s="178"/>
      <c r="M186" s="176"/>
      <c r="N186" s="151"/>
      <c r="O186" s="151"/>
      <c r="P186" s="151"/>
    </row>
    <row r="187" spans="1:16" s="1" customFormat="1" ht="16.2" thickBot="1" x14ac:dyDescent="0.35">
      <c r="A187" s="31">
        <v>16</v>
      </c>
      <c r="B187" s="155" t="s">
        <v>321</v>
      </c>
      <c r="C187" s="156" t="s">
        <v>322</v>
      </c>
      <c r="D187" s="151"/>
      <c r="E187" s="151"/>
      <c r="F187" s="143"/>
      <c r="G187" s="144"/>
      <c r="H187" s="144"/>
      <c r="I187" s="145"/>
      <c r="J187" s="177"/>
      <c r="K187" s="178"/>
      <c r="L187" s="178"/>
      <c r="M187" s="176"/>
      <c r="N187" s="151"/>
      <c r="O187" s="151"/>
      <c r="P187" s="151"/>
    </row>
    <row r="188" spans="1:16" s="1" customFormat="1" ht="16.2" thickBot="1" x14ac:dyDescent="0.35">
      <c r="A188" s="31">
        <v>17</v>
      </c>
      <c r="B188" s="155" t="s">
        <v>323</v>
      </c>
      <c r="C188" s="156" t="s">
        <v>324</v>
      </c>
      <c r="D188" s="151"/>
      <c r="E188" s="151"/>
      <c r="F188" s="143"/>
      <c r="G188" s="144"/>
      <c r="H188" s="144"/>
      <c r="I188" s="145"/>
      <c r="J188" s="177"/>
      <c r="K188" s="178"/>
      <c r="L188" s="178"/>
      <c r="M188" s="176"/>
      <c r="N188" s="151"/>
      <c r="O188" s="151"/>
      <c r="P188" s="151"/>
    </row>
    <row r="189" spans="1:16" s="1" customFormat="1" ht="16.2" thickBot="1" x14ac:dyDescent="0.35">
      <c r="A189" s="31">
        <v>18</v>
      </c>
      <c r="B189" s="155" t="s">
        <v>325</v>
      </c>
      <c r="C189" s="156" t="s">
        <v>326</v>
      </c>
      <c r="D189" s="151"/>
      <c r="E189" s="151"/>
      <c r="F189" s="143"/>
      <c r="G189" s="144"/>
      <c r="H189" s="144"/>
      <c r="I189" s="145"/>
      <c r="J189" s="177"/>
      <c r="K189" s="178"/>
      <c r="L189" s="178"/>
      <c r="M189" s="176"/>
      <c r="N189" s="151"/>
      <c r="O189" s="151"/>
      <c r="P189" s="151"/>
    </row>
    <row r="190" spans="1:16" s="1" customFormat="1" ht="15.6" x14ac:dyDescent="0.3">
      <c r="A190" s="31">
        <v>19</v>
      </c>
      <c r="B190" s="157" t="s">
        <v>327</v>
      </c>
      <c r="C190" s="158" t="s">
        <v>299</v>
      </c>
      <c r="D190" s="151"/>
      <c r="E190" s="151"/>
      <c r="F190" s="143"/>
      <c r="G190" s="144"/>
      <c r="H190" s="144"/>
      <c r="I190" s="145"/>
      <c r="J190" s="177"/>
      <c r="K190" s="178"/>
      <c r="L190" s="178"/>
      <c r="M190" s="176"/>
      <c r="N190" s="151"/>
      <c r="O190" s="151"/>
      <c r="P190" s="151"/>
    </row>
    <row r="191" spans="1:16" s="1" customFormat="1" ht="31.8" thickBot="1" x14ac:dyDescent="0.35">
      <c r="A191" s="31">
        <v>20</v>
      </c>
      <c r="B191" s="155" t="s">
        <v>328</v>
      </c>
      <c r="C191" s="159"/>
      <c r="D191" s="151"/>
      <c r="E191" s="151"/>
      <c r="F191" s="143"/>
      <c r="G191" s="144"/>
      <c r="H191" s="144"/>
      <c r="I191" s="145"/>
      <c r="J191" s="177"/>
      <c r="K191" s="178"/>
      <c r="L191" s="178"/>
      <c r="M191" s="176"/>
      <c r="N191" s="151"/>
      <c r="O191" s="151"/>
      <c r="P191" s="151"/>
    </row>
    <row r="192" spans="1:16" s="1" customFormat="1" ht="16.2" thickBot="1" x14ac:dyDescent="0.35">
      <c r="A192" s="31">
        <v>21</v>
      </c>
      <c r="B192" s="155" t="s">
        <v>329</v>
      </c>
      <c r="C192" s="156" t="s">
        <v>330</v>
      </c>
      <c r="D192" s="151"/>
      <c r="E192" s="151"/>
      <c r="F192" s="143"/>
      <c r="G192" s="144"/>
      <c r="H192" s="144"/>
      <c r="I192" s="145"/>
      <c r="J192" s="177"/>
      <c r="K192" s="178"/>
      <c r="L192" s="178"/>
      <c r="M192" s="176"/>
      <c r="N192" s="151"/>
      <c r="O192" s="151"/>
      <c r="P192" s="151"/>
    </row>
    <row r="193" spans="1:16" s="1" customFormat="1" ht="16.2" thickBot="1" x14ac:dyDescent="0.35">
      <c r="A193" s="31">
        <v>22</v>
      </c>
      <c r="B193" s="155" t="s">
        <v>331</v>
      </c>
      <c r="C193" s="156" t="s">
        <v>332</v>
      </c>
      <c r="D193" s="151"/>
      <c r="E193" s="151"/>
      <c r="F193" s="143"/>
      <c r="G193" s="144"/>
      <c r="H193" s="144"/>
      <c r="I193" s="145"/>
      <c r="J193" s="177"/>
      <c r="K193" s="178"/>
      <c r="L193" s="178"/>
      <c r="M193" s="176"/>
      <c r="N193" s="151"/>
      <c r="O193" s="151"/>
      <c r="P193" s="151"/>
    </row>
    <row r="194" spans="1:16" s="1" customFormat="1" ht="31.8" thickBot="1" x14ac:dyDescent="0.35">
      <c r="A194" s="31">
        <v>23</v>
      </c>
      <c r="B194" s="155" t="s">
        <v>333</v>
      </c>
      <c r="C194" s="156" t="s">
        <v>334</v>
      </c>
      <c r="D194" s="151"/>
      <c r="E194" s="151"/>
      <c r="F194" s="143"/>
      <c r="G194" s="144"/>
      <c r="H194" s="144"/>
      <c r="I194" s="145"/>
      <c r="J194" s="177"/>
      <c r="K194" s="178"/>
      <c r="L194" s="178"/>
      <c r="M194" s="176"/>
      <c r="N194" s="151"/>
      <c r="O194" s="151"/>
      <c r="P194" s="151"/>
    </row>
    <row r="195" spans="1:16" s="1" customFormat="1" ht="31.8" thickBot="1" x14ac:dyDescent="0.35">
      <c r="A195" s="31">
        <v>24</v>
      </c>
      <c r="B195" s="160" t="s">
        <v>335</v>
      </c>
      <c r="C195" s="161" t="s">
        <v>336</v>
      </c>
      <c r="D195" s="151"/>
      <c r="E195" s="151"/>
      <c r="F195" s="143"/>
      <c r="G195" s="144"/>
      <c r="H195" s="144"/>
      <c r="I195" s="145"/>
      <c r="J195" s="151"/>
      <c r="K195" s="151"/>
      <c r="L195" s="151"/>
      <c r="M195" s="176"/>
      <c r="N195" s="151"/>
      <c r="O195" s="151"/>
      <c r="P195" s="151"/>
    </row>
    <row r="196" spans="1:16" s="1" customFormat="1" ht="16.2" thickBot="1" x14ac:dyDescent="0.35">
      <c r="A196" s="31">
        <v>25</v>
      </c>
      <c r="B196" s="155" t="s">
        <v>337</v>
      </c>
      <c r="C196" s="156" t="s">
        <v>338</v>
      </c>
      <c r="D196" s="151"/>
      <c r="E196" s="151"/>
      <c r="F196" s="143"/>
      <c r="G196" s="144"/>
      <c r="H196" s="144"/>
      <c r="I196" s="145"/>
      <c r="J196" s="151"/>
      <c r="K196" s="151"/>
      <c r="L196" s="151"/>
      <c r="M196" s="176"/>
      <c r="N196" s="151"/>
      <c r="O196" s="151"/>
      <c r="P196" s="151"/>
    </row>
    <row r="197" spans="1:16" s="1" customFormat="1" ht="31.8" thickBot="1" x14ac:dyDescent="0.35">
      <c r="A197" s="31">
        <v>26</v>
      </c>
      <c r="B197" s="155" t="s">
        <v>339</v>
      </c>
      <c r="C197" s="156" t="s">
        <v>340</v>
      </c>
      <c r="D197" s="151"/>
      <c r="E197" s="151"/>
      <c r="F197" s="143"/>
      <c r="G197" s="144"/>
      <c r="H197" s="144"/>
      <c r="I197" s="145"/>
      <c r="J197" s="151"/>
      <c r="K197" s="151"/>
      <c r="L197" s="151"/>
      <c r="M197" s="176"/>
      <c r="N197" s="151"/>
      <c r="O197" s="151"/>
      <c r="P197" s="151"/>
    </row>
    <row r="198" spans="1:16" s="1" customFormat="1" ht="16.2" thickBot="1" x14ac:dyDescent="0.35">
      <c r="A198" s="31">
        <v>27</v>
      </c>
      <c r="B198" s="155" t="s">
        <v>341</v>
      </c>
      <c r="C198" s="156" t="s">
        <v>342</v>
      </c>
      <c r="D198" s="151"/>
      <c r="E198" s="151"/>
      <c r="F198" s="143"/>
      <c r="G198" s="144"/>
      <c r="H198" s="144"/>
      <c r="I198" s="145"/>
      <c r="J198" s="151"/>
      <c r="K198" s="151"/>
      <c r="L198" s="151"/>
      <c r="M198" s="176"/>
      <c r="N198" s="151"/>
      <c r="O198" s="151"/>
      <c r="P198" s="151"/>
    </row>
    <row r="199" spans="1:16" s="1" customFormat="1" ht="16.2" thickBot="1" x14ac:dyDescent="0.35">
      <c r="A199" s="31">
        <v>28</v>
      </c>
      <c r="B199" s="155" t="s">
        <v>343</v>
      </c>
      <c r="C199" s="156" t="s">
        <v>344</v>
      </c>
      <c r="D199" s="151"/>
      <c r="E199" s="151"/>
      <c r="F199" s="143"/>
      <c r="G199" s="144"/>
      <c r="H199" s="144"/>
      <c r="I199" s="145"/>
      <c r="J199" s="151"/>
      <c r="K199" s="151"/>
      <c r="L199" s="151"/>
      <c r="M199" s="176"/>
      <c r="N199" s="151"/>
      <c r="O199" s="151"/>
      <c r="P199" s="151"/>
    </row>
    <row r="200" spans="1:16" s="1" customFormat="1" ht="16.2" thickBot="1" x14ac:dyDescent="0.35">
      <c r="A200" s="31">
        <v>29</v>
      </c>
      <c r="B200" s="155" t="s">
        <v>345</v>
      </c>
      <c r="C200" s="156" t="s">
        <v>346</v>
      </c>
      <c r="D200" s="151"/>
      <c r="E200" s="151"/>
      <c r="F200" s="143"/>
      <c r="G200" s="144"/>
      <c r="H200" s="144"/>
      <c r="I200" s="145"/>
      <c r="J200" s="151"/>
      <c r="K200" s="151"/>
      <c r="L200" s="151"/>
      <c r="M200" s="176"/>
      <c r="N200" s="151"/>
      <c r="O200" s="151"/>
      <c r="P200" s="151"/>
    </row>
    <row r="201" spans="1:16" s="1" customFormat="1" ht="16.2" thickBot="1" x14ac:dyDescent="0.35">
      <c r="A201" s="31">
        <v>30</v>
      </c>
      <c r="B201" s="155" t="s">
        <v>347</v>
      </c>
      <c r="C201" s="156" t="s">
        <v>348</v>
      </c>
      <c r="D201" s="151"/>
      <c r="E201" s="151"/>
      <c r="F201" s="143"/>
      <c r="G201" s="144"/>
      <c r="H201" s="144"/>
      <c r="I201" s="145"/>
      <c r="J201" s="151"/>
      <c r="K201" s="151"/>
      <c r="L201" s="151"/>
      <c r="M201" s="151"/>
      <c r="N201" s="151"/>
      <c r="O201" s="151"/>
      <c r="P201" s="151"/>
    </row>
    <row r="202" spans="1:16" s="1" customFormat="1" ht="47.4" thickBot="1" x14ac:dyDescent="0.35">
      <c r="A202" s="31">
        <v>31</v>
      </c>
      <c r="B202" s="155" t="s">
        <v>349</v>
      </c>
      <c r="C202" s="156" t="s">
        <v>350</v>
      </c>
      <c r="D202" s="151"/>
      <c r="E202" s="151"/>
      <c r="F202" s="143"/>
      <c r="G202" s="144"/>
      <c r="H202" s="144"/>
      <c r="I202" s="145"/>
      <c r="J202" s="151"/>
      <c r="K202" s="151"/>
      <c r="L202" s="151"/>
      <c r="M202" s="151"/>
      <c r="N202" s="151"/>
      <c r="O202" s="151"/>
      <c r="P202" s="151"/>
    </row>
    <row r="203" spans="1:16" s="1" customFormat="1" ht="15.6" x14ac:dyDescent="0.3">
      <c r="A203" s="180">
        <v>32</v>
      </c>
      <c r="B203" s="162" t="s">
        <v>351</v>
      </c>
      <c r="C203" s="163" t="s">
        <v>352</v>
      </c>
      <c r="D203" s="151"/>
      <c r="E203" s="151"/>
      <c r="F203" s="143"/>
      <c r="G203" s="144"/>
      <c r="H203" s="144"/>
      <c r="I203" s="145"/>
      <c r="J203" s="151"/>
      <c r="K203" s="151"/>
      <c r="L203" s="151"/>
      <c r="M203" s="151"/>
      <c r="N203" s="151"/>
      <c r="O203" s="151"/>
      <c r="P203" s="151"/>
    </row>
    <row r="204" spans="1:16" s="1" customFormat="1" ht="16.2" thickBot="1" x14ac:dyDescent="0.35">
      <c r="A204" s="181"/>
      <c r="B204" s="164"/>
      <c r="C204" s="156" t="s">
        <v>353</v>
      </c>
      <c r="D204" s="151"/>
      <c r="E204" s="151"/>
      <c r="F204" s="143"/>
      <c r="G204" s="144"/>
      <c r="H204" s="144"/>
      <c r="I204" s="145"/>
      <c r="J204" s="151"/>
      <c r="K204" s="151"/>
      <c r="L204" s="151"/>
      <c r="M204" s="151"/>
      <c r="N204" s="151"/>
      <c r="O204" s="151"/>
      <c r="P204" s="151"/>
    </row>
    <row r="205" spans="1:16" s="1" customFormat="1" ht="31.2" x14ac:dyDescent="0.3">
      <c r="A205" s="31">
        <v>33</v>
      </c>
      <c r="B205" s="165" t="s">
        <v>354</v>
      </c>
      <c r="C205" s="166" t="s">
        <v>355</v>
      </c>
      <c r="D205" s="152"/>
      <c r="E205" s="152"/>
      <c r="F205" s="146"/>
      <c r="G205" s="147"/>
      <c r="H205" s="147"/>
      <c r="I205" s="148"/>
      <c r="J205" s="152"/>
      <c r="K205" s="152"/>
      <c r="L205" s="152"/>
      <c r="M205" s="152"/>
      <c r="N205" s="152"/>
      <c r="O205" s="152"/>
      <c r="P205" s="152"/>
    </row>
    <row r="206" spans="1:16" s="1" customFormat="1" x14ac:dyDescent="0.3">
      <c r="A206" s="22"/>
    </row>
    <row r="207" spans="1:16" s="1" customFormat="1" x14ac:dyDescent="0.3">
      <c r="A207" s="22"/>
    </row>
    <row r="208" spans="1:16" s="1" customFormat="1" x14ac:dyDescent="0.3">
      <c r="A208" s="22"/>
    </row>
    <row r="209" spans="1:16" s="1" customFormat="1" ht="25.8" x14ac:dyDescent="0.5">
      <c r="A209" s="22"/>
      <c r="D209" s="132" t="s">
        <v>460</v>
      </c>
      <c r="E209" s="132"/>
      <c r="F209" s="132"/>
      <c r="G209" s="132"/>
      <c r="H209" s="132"/>
      <c r="I209" s="132"/>
      <c r="J209" s="132"/>
      <c r="K209" s="132"/>
      <c r="L209" s="132"/>
    </row>
    <row r="210" spans="1:16" s="1" customFormat="1" x14ac:dyDescent="0.3">
      <c r="A210" s="22"/>
    </row>
    <row r="211" spans="1:16" s="1" customFormat="1" ht="15" thickBot="1" x14ac:dyDescent="0.35">
      <c r="A211" s="22"/>
    </row>
    <row r="212" spans="1:16" s="1" customFormat="1" ht="70.2" customHeight="1" x14ac:dyDescent="0.3">
      <c r="A212" s="104" t="s">
        <v>0</v>
      </c>
      <c r="B212" s="105" t="s">
        <v>1</v>
      </c>
      <c r="C212" s="106" t="s">
        <v>17</v>
      </c>
      <c r="D212" s="106" t="s">
        <v>18</v>
      </c>
      <c r="E212" s="106" t="s">
        <v>19</v>
      </c>
      <c r="F212" s="107" t="s">
        <v>461</v>
      </c>
      <c r="G212" s="107" t="s">
        <v>359</v>
      </c>
      <c r="H212" s="114" t="s">
        <v>360</v>
      </c>
      <c r="I212" s="107" t="s">
        <v>358</v>
      </c>
      <c r="J212" s="107" t="s">
        <v>57</v>
      </c>
      <c r="K212" s="107" t="s">
        <v>53</v>
      </c>
      <c r="L212" s="107" t="s">
        <v>54</v>
      </c>
      <c r="M212" s="107" t="s">
        <v>363</v>
      </c>
      <c r="N212" s="107"/>
      <c r="O212" s="108"/>
      <c r="P212" s="109"/>
    </row>
    <row r="213" spans="1:16" s="1" customFormat="1" x14ac:dyDescent="0.3">
      <c r="A213" s="4">
        <v>1</v>
      </c>
      <c r="B213" s="5">
        <v>2</v>
      </c>
      <c r="C213" s="15">
        <v>3</v>
      </c>
      <c r="D213" s="15">
        <v>4</v>
      </c>
      <c r="E213" s="15">
        <v>5</v>
      </c>
      <c r="F213" s="5">
        <v>6</v>
      </c>
      <c r="G213" s="4">
        <v>7</v>
      </c>
      <c r="H213" s="15"/>
      <c r="I213" s="5">
        <v>8</v>
      </c>
      <c r="J213" s="24">
        <v>9</v>
      </c>
      <c r="K213" s="4">
        <v>10</v>
      </c>
      <c r="L213" s="5">
        <v>11</v>
      </c>
      <c r="M213" s="4">
        <v>12</v>
      </c>
      <c r="N213" s="6">
        <v>13</v>
      </c>
      <c r="O213" s="6">
        <v>14</v>
      </c>
      <c r="P213" s="7">
        <v>15</v>
      </c>
    </row>
    <row r="214" spans="1:16" s="1" customFormat="1" ht="15" thickBot="1" x14ac:dyDescent="0.35">
      <c r="A214" s="22"/>
      <c r="F214" s="202"/>
      <c r="G214" s="202"/>
      <c r="H214" s="202"/>
      <c r="I214" s="202"/>
      <c r="J214" s="202"/>
    </row>
    <row r="215" spans="1:16" s="1" customFormat="1" ht="16.2" customHeight="1" thickBot="1" x14ac:dyDescent="0.35">
      <c r="A215" s="45" t="s">
        <v>61</v>
      </c>
      <c r="B215" s="54" t="s">
        <v>453</v>
      </c>
      <c r="C215" s="27"/>
      <c r="D215" s="56">
        <v>45969</v>
      </c>
      <c r="E215" s="56">
        <v>46333</v>
      </c>
      <c r="F215" s="19">
        <v>8231.4500000000007</v>
      </c>
      <c r="G215" s="221">
        <v>3899.32</v>
      </c>
      <c r="H215" s="222"/>
      <c r="I215" s="19">
        <f>F215-G215</f>
        <v>4332.130000000001</v>
      </c>
      <c r="J215" s="77" t="s">
        <v>462</v>
      </c>
      <c r="K215" s="203" t="s">
        <v>463</v>
      </c>
      <c r="L215" s="204" t="s">
        <v>463</v>
      </c>
      <c r="M215" s="204"/>
      <c r="N215" s="204"/>
      <c r="O215" s="204"/>
      <c r="P215" s="210"/>
    </row>
    <row r="216" spans="1:16" s="1" customFormat="1" ht="16.2" thickBot="1" x14ac:dyDescent="0.35">
      <c r="A216" s="22"/>
      <c r="B216" s="182" t="s">
        <v>364</v>
      </c>
      <c r="C216" s="183" t="s">
        <v>107</v>
      </c>
      <c r="D216" s="149"/>
      <c r="E216" s="149"/>
      <c r="F216" s="19"/>
      <c r="G216" s="70"/>
      <c r="H216" s="70"/>
      <c r="I216" s="19"/>
      <c r="J216" s="77"/>
      <c r="K216" s="205"/>
      <c r="L216" s="206"/>
      <c r="M216" s="206"/>
      <c r="N216" s="206"/>
      <c r="O216" s="206"/>
      <c r="P216" s="207"/>
    </row>
    <row r="217" spans="1:16" s="1" customFormat="1" ht="16.2" thickBot="1" x14ac:dyDescent="0.35">
      <c r="A217" s="22"/>
      <c r="B217" s="184" t="s">
        <v>364</v>
      </c>
      <c r="C217" s="185" t="s">
        <v>130</v>
      </c>
      <c r="D217" s="151"/>
      <c r="E217" s="151"/>
      <c r="F217" s="19"/>
      <c r="G217" s="70"/>
      <c r="H217" s="70"/>
      <c r="I217" s="19"/>
      <c r="J217" s="177"/>
      <c r="K217" s="205"/>
      <c r="L217" s="206"/>
      <c r="M217" s="206"/>
      <c r="N217" s="206"/>
      <c r="O217" s="206"/>
      <c r="P217" s="207"/>
    </row>
    <row r="218" spans="1:16" s="1" customFormat="1" ht="16.2" thickBot="1" x14ac:dyDescent="0.35">
      <c r="A218" s="22"/>
      <c r="B218" s="184" t="s">
        <v>364</v>
      </c>
      <c r="C218" s="185" t="s">
        <v>365</v>
      </c>
      <c r="D218" s="151"/>
      <c r="E218" s="151"/>
      <c r="F218" s="19"/>
      <c r="G218" s="70"/>
      <c r="H218" s="70"/>
      <c r="I218" s="19"/>
      <c r="J218" s="177"/>
      <c r="K218" s="205"/>
      <c r="L218" s="206"/>
      <c r="M218" s="206"/>
      <c r="N218" s="206"/>
      <c r="O218" s="206"/>
      <c r="P218" s="207"/>
    </row>
    <row r="219" spans="1:16" s="1" customFormat="1" ht="16.2" thickBot="1" x14ac:dyDescent="0.35">
      <c r="A219" s="22"/>
      <c r="B219" s="184" t="s">
        <v>364</v>
      </c>
      <c r="C219" s="185" t="s">
        <v>366</v>
      </c>
      <c r="D219" s="151"/>
      <c r="E219" s="151"/>
      <c r="F219" s="19"/>
      <c r="G219" s="70"/>
      <c r="H219" s="70"/>
      <c r="I219" s="19"/>
      <c r="J219" s="177"/>
      <c r="K219" s="205"/>
      <c r="L219" s="206"/>
      <c r="M219" s="206"/>
      <c r="N219" s="206"/>
      <c r="O219" s="206"/>
      <c r="P219" s="207"/>
    </row>
    <row r="220" spans="1:16" s="1" customFormat="1" ht="16.2" thickBot="1" x14ac:dyDescent="0.35">
      <c r="A220" s="22"/>
      <c r="B220" s="184" t="s">
        <v>364</v>
      </c>
      <c r="C220" s="185" t="s">
        <v>367</v>
      </c>
      <c r="D220" s="151"/>
      <c r="E220" s="151"/>
      <c r="F220" s="19"/>
      <c r="G220" s="70"/>
      <c r="H220" s="70"/>
      <c r="I220" s="19"/>
      <c r="J220" s="177"/>
      <c r="K220" s="205"/>
      <c r="L220" s="206"/>
      <c r="M220" s="206"/>
      <c r="N220" s="206"/>
      <c r="O220" s="206"/>
      <c r="P220" s="207"/>
    </row>
    <row r="221" spans="1:16" s="1" customFormat="1" ht="16.2" thickBot="1" x14ac:dyDescent="0.35">
      <c r="A221" s="22"/>
      <c r="B221" s="184" t="s">
        <v>368</v>
      </c>
      <c r="C221" s="185" t="s">
        <v>103</v>
      </c>
      <c r="D221" s="151"/>
      <c r="E221" s="151"/>
      <c r="F221" s="77"/>
      <c r="G221" s="78"/>
      <c r="H221" s="78"/>
      <c r="I221" s="77"/>
      <c r="J221" s="177"/>
      <c r="K221" s="205"/>
      <c r="L221" s="206"/>
      <c r="M221" s="206"/>
      <c r="N221" s="206"/>
      <c r="O221" s="206"/>
      <c r="P221" s="207"/>
    </row>
    <row r="222" spans="1:16" s="1" customFormat="1" ht="16.2" thickBot="1" x14ac:dyDescent="0.35">
      <c r="A222" s="22"/>
      <c r="B222" s="184" t="s">
        <v>368</v>
      </c>
      <c r="C222" s="185" t="s">
        <v>132</v>
      </c>
      <c r="D222" s="151"/>
      <c r="E222" s="151"/>
      <c r="F222" s="77"/>
      <c r="G222" s="78"/>
      <c r="H222" s="78"/>
      <c r="I222" s="77"/>
      <c r="J222" s="177"/>
      <c r="K222" s="205"/>
      <c r="L222" s="206"/>
      <c r="M222" s="206"/>
      <c r="N222" s="206"/>
      <c r="O222" s="206"/>
      <c r="P222" s="207"/>
    </row>
    <row r="223" spans="1:16" s="1" customFormat="1" ht="16.2" thickBot="1" x14ac:dyDescent="0.35">
      <c r="A223" s="22"/>
      <c r="B223" s="184" t="s">
        <v>368</v>
      </c>
      <c r="C223" s="185" t="s">
        <v>369</v>
      </c>
      <c r="D223" s="151"/>
      <c r="E223" s="151"/>
      <c r="F223" s="77"/>
      <c r="G223" s="78"/>
      <c r="H223" s="78"/>
      <c r="I223" s="77"/>
      <c r="J223" s="177"/>
      <c r="K223" s="205"/>
      <c r="L223" s="206"/>
      <c r="M223" s="206"/>
      <c r="N223" s="206"/>
      <c r="O223" s="206"/>
      <c r="P223" s="207"/>
    </row>
    <row r="224" spans="1:16" s="1" customFormat="1" ht="16.2" thickBot="1" x14ac:dyDescent="0.35">
      <c r="A224" s="22"/>
      <c r="B224" s="184" t="s">
        <v>368</v>
      </c>
      <c r="C224" s="185" t="s">
        <v>370</v>
      </c>
      <c r="D224" s="151"/>
      <c r="E224" s="151"/>
      <c r="F224" s="77"/>
      <c r="G224" s="78"/>
      <c r="H224" s="78"/>
      <c r="I224" s="77"/>
      <c r="J224" s="177"/>
      <c r="K224" s="205"/>
      <c r="L224" s="206"/>
      <c r="M224" s="206"/>
      <c r="N224" s="206"/>
      <c r="O224" s="206"/>
      <c r="P224" s="207"/>
    </row>
    <row r="225" spans="1:16" s="1" customFormat="1" ht="16.2" thickBot="1" x14ac:dyDescent="0.35">
      <c r="A225" s="22"/>
      <c r="B225" s="184" t="s">
        <v>368</v>
      </c>
      <c r="C225" s="185" t="s">
        <v>371</v>
      </c>
      <c r="D225" s="151"/>
      <c r="E225" s="151"/>
      <c r="F225" s="77"/>
      <c r="G225" s="78"/>
      <c r="H225" s="78"/>
      <c r="I225" s="77"/>
      <c r="J225" s="177"/>
      <c r="K225" s="205"/>
      <c r="L225" s="206"/>
      <c r="M225" s="206"/>
      <c r="N225" s="206"/>
      <c r="O225" s="206"/>
      <c r="P225" s="207"/>
    </row>
    <row r="226" spans="1:16" s="1" customFormat="1" ht="16.2" thickBot="1" x14ac:dyDescent="0.35">
      <c r="A226" s="22"/>
      <c r="B226" s="184" t="s">
        <v>368</v>
      </c>
      <c r="C226" s="185" t="s">
        <v>372</v>
      </c>
      <c r="D226" s="151"/>
      <c r="E226" s="151"/>
      <c r="F226" s="73"/>
      <c r="G226" s="83"/>
      <c r="H226" s="83"/>
      <c r="I226" s="73"/>
      <c r="J226" s="177"/>
      <c r="K226" s="205"/>
      <c r="L226" s="206"/>
      <c r="M226" s="206"/>
      <c r="N226" s="206"/>
      <c r="O226" s="206"/>
      <c r="P226" s="207"/>
    </row>
    <row r="227" spans="1:16" s="1" customFormat="1" ht="16.2" thickBot="1" x14ac:dyDescent="0.35">
      <c r="A227" s="22"/>
      <c r="B227" s="184" t="s">
        <v>368</v>
      </c>
      <c r="C227" s="185" t="s">
        <v>373</v>
      </c>
      <c r="D227" s="151"/>
      <c r="E227" s="151"/>
      <c r="F227" s="73"/>
      <c r="G227" s="83"/>
      <c r="H227" s="83"/>
      <c r="I227" s="73"/>
      <c r="J227" s="177"/>
      <c r="K227" s="205"/>
      <c r="L227" s="206"/>
      <c r="M227" s="206"/>
      <c r="N227" s="206"/>
      <c r="O227" s="206"/>
      <c r="P227" s="207"/>
    </row>
    <row r="228" spans="1:16" s="1" customFormat="1" ht="31.8" customHeight="1" thickBot="1" x14ac:dyDescent="0.35">
      <c r="A228" s="22"/>
      <c r="B228" s="184" t="s">
        <v>374</v>
      </c>
      <c r="C228" s="185" t="s">
        <v>134</v>
      </c>
      <c r="D228" s="151"/>
      <c r="E228" s="151"/>
      <c r="F228" s="73"/>
      <c r="G228" s="83"/>
      <c r="H228" s="83"/>
      <c r="I228" s="73"/>
      <c r="J228" s="177"/>
      <c r="K228" s="205"/>
      <c r="L228" s="206"/>
      <c r="M228" s="206"/>
      <c r="N228" s="206"/>
      <c r="O228" s="206"/>
      <c r="P228" s="207"/>
    </row>
    <row r="229" spans="1:16" s="1" customFormat="1" ht="31.8" customHeight="1" thickBot="1" x14ac:dyDescent="0.35">
      <c r="A229" s="22"/>
      <c r="B229" s="184" t="s">
        <v>374</v>
      </c>
      <c r="C229" s="185" t="s">
        <v>135</v>
      </c>
      <c r="D229" s="151"/>
      <c r="E229" s="151"/>
      <c r="F229" s="73"/>
      <c r="G229" s="83"/>
      <c r="H229" s="83"/>
      <c r="I229" s="73"/>
      <c r="J229" s="177"/>
      <c r="K229" s="205"/>
      <c r="L229" s="206"/>
      <c r="M229" s="206"/>
      <c r="N229" s="206"/>
      <c r="O229" s="206"/>
      <c r="P229" s="207"/>
    </row>
    <row r="230" spans="1:16" s="1" customFormat="1" ht="31.8" customHeight="1" thickBot="1" x14ac:dyDescent="0.35">
      <c r="A230" s="22"/>
      <c r="B230" s="184" t="s">
        <v>374</v>
      </c>
      <c r="C230" s="185" t="s">
        <v>375</v>
      </c>
      <c r="D230" s="151"/>
      <c r="E230" s="151"/>
      <c r="F230" s="73"/>
      <c r="G230" s="83"/>
      <c r="H230" s="83"/>
      <c r="I230" s="73"/>
      <c r="J230" s="177"/>
      <c r="K230" s="205"/>
      <c r="L230" s="206"/>
      <c r="M230" s="206"/>
      <c r="N230" s="206"/>
      <c r="O230" s="206"/>
      <c r="P230" s="207"/>
    </row>
    <row r="231" spans="1:16" s="1" customFormat="1" ht="31.8" customHeight="1" thickBot="1" x14ac:dyDescent="0.35">
      <c r="A231" s="22"/>
      <c r="B231" s="184" t="s">
        <v>374</v>
      </c>
      <c r="C231" s="185" t="s">
        <v>376</v>
      </c>
      <c r="D231" s="151"/>
      <c r="E231" s="151"/>
      <c r="F231" s="73"/>
      <c r="G231" s="83"/>
      <c r="H231" s="83"/>
      <c r="I231" s="73"/>
      <c r="J231" s="177"/>
      <c r="K231" s="205"/>
      <c r="L231" s="206"/>
      <c r="M231" s="206"/>
      <c r="N231" s="206"/>
      <c r="O231" s="206"/>
      <c r="P231" s="207"/>
    </row>
    <row r="232" spans="1:16" s="1" customFormat="1" ht="31.8" customHeight="1" thickBot="1" x14ac:dyDescent="0.35">
      <c r="A232" s="22"/>
      <c r="B232" s="184" t="s">
        <v>374</v>
      </c>
      <c r="C232" s="185" t="s">
        <v>377</v>
      </c>
      <c r="D232" s="151"/>
      <c r="E232" s="151"/>
      <c r="F232" s="73"/>
      <c r="G232" s="83"/>
      <c r="H232" s="83"/>
      <c r="I232" s="73"/>
      <c r="J232" s="177"/>
      <c r="K232" s="218"/>
      <c r="L232" s="206"/>
      <c r="M232" s="206"/>
      <c r="N232" s="206"/>
      <c r="O232" s="206"/>
      <c r="P232" s="207"/>
    </row>
    <row r="233" spans="1:16" s="1" customFormat="1" ht="31.8" customHeight="1" thickBot="1" x14ac:dyDescent="0.35">
      <c r="A233" s="22"/>
      <c r="B233" s="184" t="s">
        <v>378</v>
      </c>
      <c r="C233" s="185" t="s">
        <v>379</v>
      </c>
      <c r="D233" s="151"/>
      <c r="E233" s="151"/>
      <c r="F233" s="73"/>
      <c r="G233" s="83"/>
      <c r="H233" s="83"/>
      <c r="I233" s="73"/>
      <c r="J233" s="177"/>
      <c r="K233" s="218"/>
      <c r="L233" s="206"/>
      <c r="M233" s="206"/>
      <c r="N233" s="206"/>
      <c r="O233" s="206"/>
      <c r="P233" s="207"/>
    </row>
    <row r="234" spans="1:16" s="1" customFormat="1" ht="31.8" customHeight="1" thickBot="1" x14ac:dyDescent="0.35">
      <c r="A234" s="22"/>
      <c r="B234" s="184" t="s">
        <v>378</v>
      </c>
      <c r="C234" s="185" t="s">
        <v>109</v>
      </c>
      <c r="D234" s="151"/>
      <c r="E234" s="151"/>
      <c r="F234" s="73"/>
      <c r="G234" s="83"/>
      <c r="H234" s="83"/>
      <c r="I234" s="73"/>
      <c r="J234" s="177"/>
      <c r="K234" s="218"/>
      <c r="L234" s="206"/>
      <c r="M234" s="206"/>
      <c r="N234" s="206"/>
      <c r="O234" s="206"/>
      <c r="P234" s="207"/>
    </row>
    <row r="235" spans="1:16" s="1" customFormat="1" ht="31.8" customHeight="1" thickBot="1" x14ac:dyDescent="0.35">
      <c r="A235" s="22"/>
      <c r="B235" s="184" t="s">
        <v>378</v>
      </c>
      <c r="C235" s="185" t="s">
        <v>380</v>
      </c>
      <c r="D235" s="151"/>
      <c r="E235" s="151"/>
      <c r="F235" s="73"/>
      <c r="G235" s="83"/>
      <c r="H235" s="83"/>
      <c r="I235" s="73"/>
      <c r="J235" s="177"/>
      <c r="K235" s="218"/>
      <c r="L235" s="206"/>
      <c r="M235" s="206"/>
      <c r="N235" s="206"/>
      <c r="O235" s="206"/>
      <c r="P235" s="207"/>
    </row>
    <row r="236" spans="1:16" s="1" customFormat="1" ht="31.8" customHeight="1" thickBot="1" x14ac:dyDescent="0.35">
      <c r="A236" s="22"/>
      <c r="B236" s="184" t="s">
        <v>378</v>
      </c>
      <c r="C236" s="185" t="s">
        <v>381</v>
      </c>
      <c r="D236" s="151"/>
      <c r="E236" s="151"/>
      <c r="F236" s="151"/>
      <c r="G236" s="83"/>
      <c r="H236" s="83"/>
      <c r="I236" s="151"/>
      <c r="J236" s="177"/>
      <c r="K236" s="218"/>
      <c r="L236" s="206"/>
      <c r="M236" s="206"/>
      <c r="N236" s="206"/>
      <c r="O236" s="206"/>
      <c r="P236" s="207"/>
    </row>
    <row r="237" spans="1:16" s="1" customFormat="1" ht="31.8" customHeight="1" thickBot="1" x14ac:dyDescent="0.35">
      <c r="A237" s="22"/>
      <c r="B237" s="184" t="s">
        <v>378</v>
      </c>
      <c r="C237" s="185" t="s">
        <v>382</v>
      </c>
      <c r="D237" s="151"/>
      <c r="E237" s="151"/>
      <c r="F237" s="151"/>
      <c r="G237" s="211"/>
      <c r="H237" s="211"/>
      <c r="I237" s="151"/>
      <c r="J237" s="177"/>
      <c r="K237" s="218"/>
      <c r="L237" s="206"/>
      <c r="M237" s="206"/>
      <c r="N237" s="206"/>
      <c r="O237" s="206"/>
      <c r="P237" s="207"/>
    </row>
    <row r="238" spans="1:16" s="1" customFormat="1" ht="31.8" customHeight="1" thickBot="1" x14ac:dyDescent="0.35">
      <c r="A238" s="22"/>
      <c r="B238" s="184" t="s">
        <v>378</v>
      </c>
      <c r="C238" s="185" t="s">
        <v>383</v>
      </c>
      <c r="D238" s="151"/>
      <c r="E238" s="151"/>
      <c r="F238" s="151"/>
      <c r="G238" s="211"/>
      <c r="H238" s="211"/>
      <c r="I238" s="151"/>
      <c r="J238" s="177"/>
      <c r="K238" s="218"/>
      <c r="L238" s="206"/>
      <c r="M238" s="206"/>
      <c r="N238" s="206"/>
      <c r="O238" s="206"/>
      <c r="P238" s="207"/>
    </row>
    <row r="239" spans="1:16" s="1" customFormat="1" ht="31.8" customHeight="1" thickBot="1" x14ac:dyDescent="0.35">
      <c r="A239" s="22"/>
      <c r="B239" s="184" t="s">
        <v>378</v>
      </c>
      <c r="C239" s="185" t="s">
        <v>384</v>
      </c>
      <c r="D239" s="151"/>
      <c r="E239" s="151"/>
      <c r="F239" s="151"/>
      <c r="G239" s="211"/>
      <c r="H239" s="211"/>
      <c r="I239" s="151"/>
      <c r="J239" s="177"/>
      <c r="K239" s="218"/>
      <c r="L239" s="206"/>
      <c r="M239" s="206"/>
      <c r="N239" s="206"/>
      <c r="O239" s="206"/>
      <c r="P239" s="207"/>
    </row>
    <row r="240" spans="1:16" s="1" customFormat="1" ht="16.2" thickBot="1" x14ac:dyDescent="0.35">
      <c r="A240" s="22"/>
      <c r="B240" s="184" t="s">
        <v>364</v>
      </c>
      <c r="C240" s="185" t="s">
        <v>105</v>
      </c>
      <c r="D240" s="151"/>
      <c r="E240" s="151"/>
      <c r="F240" s="151"/>
      <c r="G240" s="211"/>
      <c r="H240" s="211"/>
      <c r="I240" s="151"/>
      <c r="J240" s="177"/>
      <c r="K240" s="218"/>
      <c r="L240" s="206"/>
      <c r="M240" s="206"/>
      <c r="N240" s="206"/>
      <c r="O240" s="206"/>
      <c r="P240" s="207"/>
    </row>
    <row r="241" spans="1:16" s="1" customFormat="1" ht="16.2" thickBot="1" x14ac:dyDescent="0.35">
      <c r="A241" s="22"/>
      <c r="B241" s="184" t="s">
        <v>364</v>
      </c>
      <c r="C241" s="185" t="s">
        <v>136</v>
      </c>
      <c r="D241" s="151"/>
      <c r="E241" s="151"/>
      <c r="F241" s="151"/>
      <c r="G241" s="211"/>
      <c r="H241" s="211"/>
      <c r="I241" s="151"/>
      <c r="J241" s="177"/>
      <c r="K241" s="218"/>
      <c r="L241" s="206"/>
      <c r="M241" s="206"/>
      <c r="N241" s="206"/>
      <c r="O241" s="206"/>
      <c r="P241" s="207"/>
    </row>
    <row r="242" spans="1:16" s="1" customFormat="1" ht="16.2" thickBot="1" x14ac:dyDescent="0.35">
      <c r="A242" s="22"/>
      <c r="B242" s="184" t="s">
        <v>364</v>
      </c>
      <c r="C242" s="185" t="s">
        <v>385</v>
      </c>
      <c r="D242" s="151"/>
      <c r="E242" s="151"/>
      <c r="F242" s="151"/>
      <c r="G242" s="211"/>
      <c r="H242" s="211"/>
      <c r="I242" s="151"/>
      <c r="J242" s="177"/>
      <c r="K242" s="218"/>
      <c r="L242" s="206"/>
      <c r="M242" s="206"/>
      <c r="N242" s="206"/>
      <c r="O242" s="206"/>
      <c r="P242" s="207"/>
    </row>
    <row r="243" spans="1:16" s="1" customFormat="1" ht="16.2" thickBot="1" x14ac:dyDescent="0.35">
      <c r="A243" s="22"/>
      <c r="B243" s="184" t="s">
        <v>364</v>
      </c>
      <c r="C243" s="185" t="s">
        <v>386</v>
      </c>
      <c r="D243" s="151"/>
      <c r="E243" s="151"/>
      <c r="F243" s="151"/>
      <c r="G243" s="211"/>
      <c r="H243" s="211"/>
      <c r="I243" s="151"/>
      <c r="J243" s="177"/>
      <c r="K243" s="218"/>
      <c r="L243" s="206"/>
      <c r="M243" s="206"/>
      <c r="N243" s="206"/>
      <c r="O243" s="206"/>
      <c r="P243" s="207"/>
    </row>
    <row r="244" spans="1:16" s="1" customFormat="1" ht="16.2" thickBot="1" x14ac:dyDescent="0.35">
      <c r="A244" s="22"/>
      <c r="B244" s="184" t="s">
        <v>364</v>
      </c>
      <c r="C244" s="185" t="s">
        <v>387</v>
      </c>
      <c r="D244" s="151"/>
      <c r="E244" s="151"/>
      <c r="F244" s="151"/>
      <c r="G244" s="211"/>
      <c r="H244" s="211"/>
      <c r="I244" s="151"/>
      <c r="J244" s="177"/>
      <c r="K244" s="218"/>
      <c r="L244" s="206"/>
      <c r="M244" s="206"/>
      <c r="N244" s="206"/>
      <c r="O244" s="206"/>
      <c r="P244" s="207"/>
    </row>
    <row r="245" spans="1:16" s="1" customFormat="1" ht="16.2" thickBot="1" x14ac:dyDescent="0.35">
      <c r="A245" s="22"/>
      <c r="B245" s="184" t="s">
        <v>368</v>
      </c>
      <c r="C245" s="185" t="s">
        <v>137</v>
      </c>
      <c r="D245" s="151"/>
      <c r="E245" s="151"/>
      <c r="F245" s="151"/>
      <c r="G245" s="211"/>
      <c r="H245" s="211"/>
      <c r="I245" s="151"/>
      <c r="J245" s="177"/>
      <c r="K245" s="218"/>
      <c r="L245" s="206"/>
      <c r="M245" s="206"/>
      <c r="N245" s="206"/>
      <c r="O245" s="206"/>
      <c r="P245" s="207"/>
    </row>
    <row r="246" spans="1:16" s="1" customFormat="1" ht="16.2" thickBot="1" x14ac:dyDescent="0.35">
      <c r="A246" s="22"/>
      <c r="B246" s="184" t="s">
        <v>368</v>
      </c>
      <c r="C246" s="185" t="s">
        <v>139</v>
      </c>
      <c r="D246" s="197"/>
      <c r="E246" s="151"/>
      <c r="F246" s="151"/>
      <c r="G246" s="211"/>
      <c r="H246" s="211"/>
      <c r="I246" s="151"/>
      <c r="J246" s="177"/>
      <c r="K246" s="218"/>
      <c r="L246" s="206"/>
      <c r="M246" s="206"/>
      <c r="N246" s="206"/>
      <c r="O246" s="206"/>
      <c r="P246" s="207"/>
    </row>
    <row r="247" spans="1:16" s="1" customFormat="1" ht="16.2" thickBot="1" x14ac:dyDescent="0.35">
      <c r="A247" s="22"/>
      <c r="B247" s="184" t="s">
        <v>368</v>
      </c>
      <c r="C247" s="185" t="s">
        <v>388</v>
      </c>
      <c r="D247" s="197"/>
      <c r="E247" s="151"/>
      <c r="F247" s="151"/>
      <c r="G247" s="211"/>
      <c r="H247" s="211"/>
      <c r="I247" s="151"/>
      <c r="J247" s="177"/>
      <c r="K247" s="218"/>
      <c r="L247" s="206"/>
      <c r="M247" s="206"/>
      <c r="N247" s="206"/>
      <c r="O247" s="206"/>
      <c r="P247" s="207"/>
    </row>
    <row r="248" spans="1:16" s="1" customFormat="1" ht="16.2" thickBot="1" x14ac:dyDescent="0.35">
      <c r="A248" s="22"/>
      <c r="B248" s="184" t="s">
        <v>368</v>
      </c>
      <c r="C248" s="185" t="s">
        <v>389</v>
      </c>
      <c r="D248" s="197"/>
      <c r="E248" s="151"/>
      <c r="F248" s="151"/>
      <c r="G248" s="211"/>
      <c r="H248" s="211"/>
      <c r="I248" s="151"/>
      <c r="J248" s="177"/>
      <c r="K248" s="218"/>
      <c r="L248" s="206"/>
      <c r="M248" s="206"/>
      <c r="N248" s="206"/>
      <c r="O248" s="206"/>
      <c r="P248" s="207"/>
    </row>
    <row r="249" spans="1:16" s="1" customFormat="1" ht="16.2" thickBot="1" x14ac:dyDescent="0.35">
      <c r="A249" s="22"/>
      <c r="B249" s="184" t="s">
        <v>368</v>
      </c>
      <c r="C249" s="185" t="s">
        <v>390</v>
      </c>
      <c r="D249" s="197"/>
      <c r="E249" s="151"/>
      <c r="F249" s="151"/>
      <c r="G249" s="211"/>
      <c r="H249" s="211"/>
      <c r="I249" s="151"/>
      <c r="J249" s="177"/>
      <c r="K249" s="218"/>
      <c r="L249" s="206"/>
      <c r="M249" s="206"/>
      <c r="N249" s="206"/>
      <c r="O249" s="206"/>
      <c r="P249" s="207"/>
    </row>
    <row r="250" spans="1:16" s="1" customFormat="1" ht="16.2" thickBot="1" x14ac:dyDescent="0.35">
      <c r="A250" s="22"/>
      <c r="B250" s="184" t="s">
        <v>368</v>
      </c>
      <c r="C250" s="185" t="s">
        <v>141</v>
      </c>
      <c r="D250" s="197"/>
      <c r="E250" s="151"/>
      <c r="F250" s="151"/>
      <c r="G250" s="211"/>
      <c r="H250" s="211"/>
      <c r="I250" s="151"/>
      <c r="J250" s="177"/>
      <c r="K250" s="218"/>
      <c r="L250" s="206"/>
      <c r="M250" s="206"/>
      <c r="N250" s="206"/>
      <c r="O250" s="206"/>
      <c r="P250" s="207"/>
    </row>
    <row r="251" spans="1:16" s="1" customFormat="1" ht="16.2" thickBot="1" x14ac:dyDescent="0.35">
      <c r="A251" s="22"/>
      <c r="B251" s="184" t="s">
        <v>368</v>
      </c>
      <c r="C251" s="185" t="s">
        <v>142</v>
      </c>
      <c r="D251" s="197"/>
      <c r="E251" s="151"/>
      <c r="F251" s="151"/>
      <c r="G251" s="211"/>
      <c r="H251" s="211"/>
      <c r="I251" s="151"/>
      <c r="J251" s="177"/>
      <c r="K251" s="218"/>
      <c r="L251" s="206"/>
      <c r="M251" s="206"/>
      <c r="N251" s="206"/>
      <c r="O251" s="206"/>
      <c r="P251" s="207"/>
    </row>
    <row r="252" spans="1:16" s="1" customFormat="1" ht="16.2" thickBot="1" x14ac:dyDescent="0.35">
      <c r="A252" s="22"/>
      <c r="B252" s="184" t="s">
        <v>368</v>
      </c>
      <c r="C252" s="185" t="s">
        <v>391</v>
      </c>
      <c r="D252" s="197"/>
      <c r="E252" s="151"/>
      <c r="F252" s="151"/>
      <c r="G252" s="211"/>
      <c r="H252" s="211"/>
      <c r="I252" s="151"/>
      <c r="J252" s="177"/>
      <c r="K252" s="218"/>
      <c r="L252" s="206"/>
      <c r="M252" s="206"/>
      <c r="N252" s="206"/>
      <c r="O252" s="206"/>
      <c r="P252" s="207"/>
    </row>
    <row r="253" spans="1:16" s="1" customFormat="1" ht="16.2" thickBot="1" x14ac:dyDescent="0.35">
      <c r="A253" s="22"/>
      <c r="B253" s="184" t="s">
        <v>368</v>
      </c>
      <c r="C253" s="185" t="s">
        <v>392</v>
      </c>
      <c r="D253" s="197"/>
      <c r="E253" s="151"/>
      <c r="F253" s="151"/>
      <c r="G253" s="211"/>
      <c r="H253" s="211"/>
      <c r="I253" s="151"/>
      <c r="J253" s="177"/>
      <c r="K253" s="218"/>
      <c r="L253" s="206"/>
      <c r="M253" s="206"/>
      <c r="N253" s="206"/>
      <c r="O253" s="206"/>
      <c r="P253" s="207"/>
    </row>
    <row r="254" spans="1:16" s="1" customFormat="1" ht="16.2" thickBot="1" x14ac:dyDescent="0.35">
      <c r="A254" s="22"/>
      <c r="B254" s="184" t="s">
        <v>368</v>
      </c>
      <c r="C254" s="185" t="s">
        <v>393</v>
      </c>
      <c r="D254" s="198"/>
      <c r="E254" s="151"/>
      <c r="F254" s="151"/>
      <c r="G254" s="211"/>
      <c r="H254" s="211"/>
      <c r="I254" s="151"/>
      <c r="J254" s="177"/>
      <c r="K254" s="218"/>
      <c r="L254" s="206"/>
      <c r="M254" s="206"/>
      <c r="N254" s="206"/>
      <c r="O254" s="206"/>
      <c r="P254" s="207"/>
    </row>
    <row r="255" spans="1:16" s="1" customFormat="1" ht="16.2" thickBot="1" x14ac:dyDescent="0.35">
      <c r="A255" s="22"/>
      <c r="B255" s="184" t="s">
        <v>378</v>
      </c>
      <c r="C255" s="185" t="s">
        <v>394</v>
      </c>
      <c r="D255" s="198"/>
      <c r="E255" s="151"/>
      <c r="F255" s="151"/>
      <c r="G255" s="211"/>
      <c r="H255" s="211"/>
      <c r="I255" s="151"/>
      <c r="J255" s="177"/>
      <c r="K255" s="218"/>
      <c r="L255" s="206"/>
      <c r="M255" s="206"/>
      <c r="N255" s="206"/>
      <c r="O255" s="206"/>
      <c r="P255" s="207"/>
    </row>
    <row r="256" spans="1:16" s="1" customFormat="1" ht="16.2" thickBot="1" x14ac:dyDescent="0.35">
      <c r="A256" s="22"/>
      <c r="B256" s="184" t="s">
        <v>378</v>
      </c>
      <c r="C256" s="185" t="s">
        <v>395</v>
      </c>
      <c r="D256" s="198"/>
      <c r="E256" s="151"/>
      <c r="F256" s="151"/>
      <c r="G256" s="211"/>
      <c r="H256" s="211"/>
      <c r="I256" s="151"/>
      <c r="J256" s="177"/>
      <c r="K256" s="218"/>
      <c r="L256" s="206"/>
      <c r="M256" s="206"/>
      <c r="N256" s="206"/>
      <c r="O256" s="206"/>
      <c r="P256" s="207"/>
    </row>
    <row r="257" spans="1:16" s="1" customFormat="1" ht="16.2" thickBot="1" x14ac:dyDescent="0.35">
      <c r="A257" s="22"/>
      <c r="B257" s="184" t="s">
        <v>378</v>
      </c>
      <c r="C257" s="185" t="s">
        <v>396</v>
      </c>
      <c r="D257" s="198"/>
      <c r="E257" s="151"/>
      <c r="F257" s="151"/>
      <c r="G257" s="211"/>
      <c r="H257" s="211"/>
      <c r="I257" s="151"/>
      <c r="J257" s="177"/>
      <c r="K257" s="218"/>
      <c r="L257" s="206"/>
      <c r="M257" s="206"/>
      <c r="N257" s="206"/>
      <c r="O257" s="206"/>
      <c r="P257" s="207"/>
    </row>
    <row r="258" spans="1:16" s="1" customFormat="1" ht="16.2" thickBot="1" x14ac:dyDescent="0.35">
      <c r="A258" s="22"/>
      <c r="B258" s="184" t="s">
        <v>378</v>
      </c>
      <c r="C258" s="185" t="s">
        <v>397</v>
      </c>
      <c r="D258" s="198"/>
      <c r="E258" s="151"/>
      <c r="F258" s="151"/>
      <c r="G258" s="211"/>
      <c r="H258" s="211"/>
      <c r="I258" s="151"/>
      <c r="J258" s="177"/>
      <c r="K258" s="218"/>
      <c r="L258" s="206"/>
      <c r="M258" s="206"/>
      <c r="N258" s="206"/>
      <c r="O258" s="206"/>
      <c r="P258" s="207"/>
    </row>
    <row r="259" spans="1:16" s="1" customFormat="1" ht="16.2" thickBot="1" x14ac:dyDescent="0.35">
      <c r="A259" s="22"/>
      <c r="B259" s="184" t="s">
        <v>378</v>
      </c>
      <c r="C259" s="185" t="s">
        <v>398</v>
      </c>
      <c r="D259" s="198"/>
      <c r="E259" s="151"/>
      <c r="F259" s="151"/>
      <c r="G259" s="211"/>
      <c r="H259" s="211"/>
      <c r="I259" s="151"/>
      <c r="J259" s="177"/>
      <c r="K259" s="218"/>
      <c r="L259" s="206"/>
      <c r="M259" s="206"/>
      <c r="N259" s="206"/>
      <c r="O259" s="206"/>
      <c r="P259" s="207"/>
    </row>
    <row r="260" spans="1:16" s="1" customFormat="1" ht="16.2" thickBot="1" x14ac:dyDescent="0.35">
      <c r="A260" s="22"/>
      <c r="B260" s="184" t="s">
        <v>399</v>
      </c>
      <c r="C260" s="185" t="s">
        <v>400</v>
      </c>
      <c r="D260" s="198"/>
      <c r="E260" s="151"/>
      <c r="F260" s="151"/>
      <c r="G260" s="211"/>
      <c r="H260" s="211"/>
      <c r="I260" s="151"/>
      <c r="J260" s="177"/>
      <c r="K260" s="218"/>
      <c r="L260" s="206"/>
      <c r="M260" s="206"/>
      <c r="N260" s="206"/>
      <c r="O260" s="206"/>
      <c r="P260" s="207"/>
    </row>
    <row r="261" spans="1:16" s="1" customFormat="1" ht="16.2" thickBot="1" x14ac:dyDescent="0.35">
      <c r="A261" s="22"/>
      <c r="B261" s="184" t="s">
        <v>401</v>
      </c>
      <c r="C261" s="185" t="s">
        <v>118</v>
      </c>
      <c r="D261" s="198"/>
      <c r="E261" s="151"/>
      <c r="F261" s="151"/>
      <c r="G261" s="211"/>
      <c r="H261" s="211"/>
      <c r="I261" s="151"/>
      <c r="J261" s="177"/>
      <c r="K261" s="218"/>
      <c r="L261" s="206"/>
      <c r="M261" s="206"/>
      <c r="N261" s="206"/>
      <c r="O261" s="206"/>
      <c r="P261" s="207"/>
    </row>
    <row r="262" spans="1:16" s="1" customFormat="1" ht="16.2" thickBot="1" x14ac:dyDescent="0.35">
      <c r="A262" s="22"/>
      <c r="B262" s="184" t="s">
        <v>402</v>
      </c>
      <c r="C262" s="185" t="s">
        <v>403</v>
      </c>
      <c r="D262" s="198"/>
      <c r="E262" s="151"/>
      <c r="F262" s="151"/>
      <c r="G262" s="211"/>
      <c r="H262" s="211"/>
      <c r="I262" s="151"/>
      <c r="J262" s="177"/>
      <c r="K262" s="218"/>
      <c r="L262" s="206"/>
      <c r="M262" s="206"/>
      <c r="N262" s="206"/>
      <c r="O262" s="206"/>
      <c r="P262" s="207"/>
    </row>
    <row r="263" spans="1:16" s="1" customFormat="1" ht="16.2" thickBot="1" x14ac:dyDescent="0.35">
      <c r="A263" s="22"/>
      <c r="B263" s="184" t="s">
        <v>404</v>
      </c>
      <c r="C263" s="185" t="s">
        <v>40</v>
      </c>
      <c r="D263" s="198"/>
      <c r="E263" s="151"/>
      <c r="F263" s="151"/>
      <c r="G263" s="211"/>
      <c r="H263" s="211"/>
      <c r="I263" s="151"/>
      <c r="J263" s="177"/>
      <c r="K263" s="218"/>
      <c r="L263" s="206"/>
      <c r="M263" s="206"/>
      <c r="N263" s="206"/>
      <c r="O263" s="206"/>
      <c r="P263" s="207"/>
    </row>
    <row r="264" spans="1:16" s="1" customFormat="1" ht="31.8" thickBot="1" x14ac:dyDescent="0.35">
      <c r="A264" s="22"/>
      <c r="B264" s="184" t="s">
        <v>405</v>
      </c>
      <c r="C264" s="185" t="s">
        <v>406</v>
      </c>
      <c r="D264" s="198"/>
      <c r="E264" s="151"/>
      <c r="F264" s="151"/>
      <c r="G264" s="211"/>
      <c r="H264" s="211"/>
      <c r="I264" s="151"/>
      <c r="J264" s="177"/>
      <c r="K264" s="218"/>
      <c r="L264" s="206"/>
      <c r="M264" s="206"/>
      <c r="N264" s="206"/>
      <c r="O264" s="206"/>
      <c r="P264" s="207"/>
    </row>
    <row r="265" spans="1:16" s="1" customFormat="1" ht="31.8" thickBot="1" x14ac:dyDescent="0.35">
      <c r="A265" s="22"/>
      <c r="B265" s="184" t="s">
        <v>407</v>
      </c>
      <c r="C265" s="185" t="s">
        <v>408</v>
      </c>
      <c r="D265" s="198"/>
      <c r="E265" s="151"/>
      <c r="F265" s="73"/>
      <c r="G265" s="211"/>
      <c r="H265" s="211"/>
      <c r="I265" s="151"/>
      <c r="J265" s="177"/>
      <c r="K265" s="218"/>
      <c r="L265" s="206"/>
      <c r="M265" s="206"/>
      <c r="N265" s="206"/>
      <c r="O265" s="206"/>
      <c r="P265" s="207"/>
    </row>
    <row r="266" spans="1:16" s="1" customFormat="1" ht="31.8" thickBot="1" x14ac:dyDescent="0.35">
      <c r="A266" s="22"/>
      <c r="B266" s="184" t="s">
        <v>409</v>
      </c>
      <c r="C266" s="185" t="s">
        <v>41</v>
      </c>
      <c r="D266" s="198"/>
      <c r="E266" s="151"/>
      <c r="F266" s="73"/>
      <c r="G266" s="211"/>
      <c r="H266" s="211"/>
      <c r="I266" s="151"/>
      <c r="J266" s="177"/>
      <c r="K266" s="218"/>
      <c r="L266" s="206"/>
      <c r="M266" s="206"/>
      <c r="N266" s="206"/>
      <c r="O266" s="206"/>
      <c r="P266" s="207"/>
    </row>
    <row r="267" spans="1:16" s="1" customFormat="1" ht="31.8" thickBot="1" x14ac:dyDescent="0.35">
      <c r="A267" s="22"/>
      <c r="B267" s="184" t="s">
        <v>407</v>
      </c>
      <c r="C267" s="185" t="s">
        <v>410</v>
      </c>
      <c r="D267" s="198"/>
      <c r="E267" s="151"/>
      <c r="F267" s="73"/>
      <c r="G267" s="211"/>
      <c r="H267" s="211"/>
      <c r="I267" s="151"/>
      <c r="J267" s="177"/>
      <c r="K267" s="218"/>
      <c r="L267" s="206"/>
      <c r="M267" s="206"/>
      <c r="N267" s="206"/>
      <c r="O267" s="206"/>
      <c r="P267" s="207"/>
    </row>
    <row r="268" spans="1:16" s="1" customFormat="1" ht="31.8" thickBot="1" x14ac:dyDescent="0.35">
      <c r="A268" s="22"/>
      <c r="B268" s="184" t="s">
        <v>411</v>
      </c>
      <c r="C268" s="185" t="s">
        <v>412</v>
      </c>
      <c r="D268" s="198"/>
      <c r="E268" s="151"/>
      <c r="F268" s="73"/>
      <c r="G268" s="211"/>
      <c r="H268" s="211"/>
      <c r="I268" s="151"/>
      <c r="J268" s="177"/>
      <c r="K268" s="218"/>
      <c r="L268" s="206"/>
      <c r="M268" s="206"/>
      <c r="N268" s="206"/>
      <c r="O268" s="206"/>
      <c r="P268" s="207"/>
    </row>
    <row r="269" spans="1:16" s="1" customFormat="1" ht="31.8" thickBot="1" x14ac:dyDescent="0.35">
      <c r="A269" s="22"/>
      <c r="B269" s="184" t="s">
        <v>411</v>
      </c>
      <c r="C269" s="185" t="s">
        <v>413</v>
      </c>
      <c r="D269" s="198"/>
      <c r="E269" s="151"/>
      <c r="F269" s="73"/>
      <c r="G269" s="211"/>
      <c r="H269" s="211"/>
      <c r="I269" s="151"/>
      <c r="J269" s="177"/>
      <c r="K269" s="218"/>
      <c r="L269" s="206"/>
      <c r="M269" s="206"/>
      <c r="N269" s="206"/>
      <c r="O269" s="206"/>
      <c r="P269" s="207"/>
    </row>
    <row r="270" spans="1:16" s="1" customFormat="1" ht="31.8" thickBot="1" x14ac:dyDescent="0.35">
      <c r="A270" s="22"/>
      <c r="B270" s="184" t="s">
        <v>411</v>
      </c>
      <c r="C270" s="185" t="s">
        <v>414</v>
      </c>
      <c r="D270" s="198"/>
      <c r="E270" s="151"/>
      <c r="F270" s="73"/>
      <c r="G270" s="211"/>
      <c r="H270" s="211"/>
      <c r="I270" s="151"/>
      <c r="J270" s="177"/>
      <c r="K270" s="218"/>
      <c r="L270" s="206"/>
      <c r="M270" s="206"/>
      <c r="N270" s="206"/>
      <c r="O270" s="206"/>
      <c r="P270" s="207"/>
    </row>
    <row r="271" spans="1:16" s="1" customFormat="1" ht="31.8" thickBot="1" x14ac:dyDescent="0.35">
      <c r="A271" s="22"/>
      <c r="B271" s="184" t="s">
        <v>411</v>
      </c>
      <c r="C271" s="185" t="s">
        <v>415</v>
      </c>
      <c r="D271" s="198"/>
      <c r="E271" s="151"/>
      <c r="F271" s="73"/>
      <c r="G271" s="211"/>
      <c r="H271" s="211"/>
      <c r="I271" s="151"/>
      <c r="J271" s="177"/>
      <c r="K271" s="218"/>
      <c r="L271" s="206"/>
      <c r="M271" s="206"/>
      <c r="N271" s="206"/>
      <c r="O271" s="206"/>
      <c r="P271" s="207"/>
    </row>
    <row r="272" spans="1:16" s="1" customFormat="1" ht="31.8" thickBot="1" x14ac:dyDescent="0.35">
      <c r="A272" s="22"/>
      <c r="B272" s="184" t="s">
        <v>411</v>
      </c>
      <c r="C272" s="185" t="s">
        <v>416</v>
      </c>
      <c r="D272" s="198"/>
      <c r="E272" s="151"/>
      <c r="F272" s="73"/>
      <c r="G272" s="211"/>
      <c r="H272" s="211"/>
      <c r="I272" s="151"/>
      <c r="J272" s="177"/>
      <c r="K272" s="218"/>
      <c r="L272" s="206"/>
      <c r="M272" s="206"/>
      <c r="N272" s="206"/>
      <c r="O272" s="206"/>
      <c r="P272" s="207"/>
    </row>
    <row r="273" spans="1:16" s="1" customFormat="1" ht="31.8" thickBot="1" x14ac:dyDescent="0.35">
      <c r="A273" s="22"/>
      <c r="B273" s="184" t="s">
        <v>411</v>
      </c>
      <c r="C273" s="185" t="s">
        <v>417</v>
      </c>
      <c r="D273" s="198"/>
      <c r="E273" s="151"/>
      <c r="F273" s="73"/>
      <c r="G273" s="211"/>
      <c r="H273" s="211"/>
      <c r="I273" s="151"/>
      <c r="J273" s="177"/>
      <c r="K273" s="218"/>
      <c r="L273" s="206"/>
      <c r="M273" s="206"/>
      <c r="N273" s="206"/>
      <c r="O273" s="206"/>
      <c r="P273" s="207"/>
    </row>
    <row r="274" spans="1:16" s="1" customFormat="1" ht="31.8" thickBot="1" x14ac:dyDescent="0.35">
      <c r="A274" s="22"/>
      <c r="B274" s="184" t="s">
        <v>411</v>
      </c>
      <c r="C274" s="185" t="s">
        <v>126</v>
      </c>
      <c r="D274" s="198"/>
      <c r="E274" s="151"/>
      <c r="F274" s="73"/>
      <c r="G274" s="211"/>
      <c r="H274" s="211"/>
      <c r="I274" s="151"/>
      <c r="J274" s="177"/>
      <c r="K274" s="218"/>
      <c r="L274" s="206"/>
      <c r="M274" s="206"/>
      <c r="N274" s="206"/>
      <c r="O274" s="206"/>
      <c r="P274" s="207"/>
    </row>
    <row r="275" spans="1:16" s="1" customFormat="1" ht="31.8" thickBot="1" x14ac:dyDescent="0.35">
      <c r="A275" s="22"/>
      <c r="B275" s="184" t="s">
        <v>411</v>
      </c>
      <c r="C275" s="185" t="s">
        <v>418</v>
      </c>
      <c r="D275" s="198"/>
      <c r="E275" s="151"/>
      <c r="F275" s="73"/>
      <c r="G275" s="211"/>
      <c r="H275" s="211"/>
      <c r="I275" s="151"/>
      <c r="J275" s="177"/>
      <c r="K275" s="218"/>
      <c r="L275" s="206"/>
      <c r="M275" s="206"/>
      <c r="N275" s="206"/>
      <c r="O275" s="206"/>
      <c r="P275" s="207"/>
    </row>
    <row r="276" spans="1:16" s="1" customFormat="1" ht="31.8" thickBot="1" x14ac:dyDescent="0.35">
      <c r="A276" s="22"/>
      <c r="B276" s="184" t="s">
        <v>411</v>
      </c>
      <c r="C276" s="185" t="s">
        <v>419</v>
      </c>
      <c r="D276" s="198"/>
      <c r="E276" s="151"/>
      <c r="F276" s="73"/>
      <c r="G276" s="211"/>
      <c r="H276" s="211"/>
      <c r="I276" s="151"/>
      <c r="J276" s="177"/>
      <c r="K276" s="218"/>
      <c r="L276" s="206"/>
      <c r="M276" s="206"/>
      <c r="N276" s="206"/>
      <c r="O276" s="206"/>
      <c r="P276" s="207"/>
    </row>
    <row r="277" spans="1:16" s="1" customFormat="1" ht="31.8" thickBot="1" x14ac:dyDescent="0.35">
      <c r="A277" s="22"/>
      <c r="B277" s="184" t="s">
        <v>411</v>
      </c>
      <c r="C277" s="185" t="s">
        <v>420</v>
      </c>
      <c r="D277" s="198"/>
      <c r="E277" s="151"/>
      <c r="F277" s="73"/>
      <c r="G277" s="211"/>
      <c r="H277" s="211"/>
      <c r="I277" s="151"/>
      <c r="J277" s="177"/>
      <c r="K277" s="218"/>
      <c r="L277" s="206"/>
      <c r="M277" s="206"/>
      <c r="N277" s="206"/>
      <c r="O277" s="206"/>
      <c r="P277" s="207"/>
    </row>
    <row r="278" spans="1:16" s="1" customFormat="1" ht="31.8" thickBot="1" x14ac:dyDescent="0.35">
      <c r="A278" s="22"/>
      <c r="B278" s="184" t="s">
        <v>411</v>
      </c>
      <c r="C278" s="185" t="s">
        <v>113</v>
      </c>
      <c r="D278" s="198"/>
      <c r="E278" s="151"/>
      <c r="F278" s="73"/>
      <c r="G278" s="211"/>
      <c r="H278" s="211"/>
      <c r="I278" s="151"/>
      <c r="J278" s="177"/>
      <c r="K278" s="218"/>
      <c r="L278" s="206"/>
      <c r="M278" s="206"/>
      <c r="N278" s="206"/>
      <c r="O278" s="206"/>
      <c r="P278" s="207"/>
    </row>
    <row r="279" spans="1:16" s="1" customFormat="1" ht="31.8" thickBot="1" x14ac:dyDescent="0.35">
      <c r="A279" s="22"/>
      <c r="B279" s="184" t="s">
        <v>411</v>
      </c>
      <c r="C279" s="185" t="s">
        <v>421</v>
      </c>
      <c r="D279" s="198"/>
      <c r="E279" s="151"/>
      <c r="F279" s="73"/>
      <c r="G279" s="211"/>
      <c r="H279" s="211"/>
      <c r="I279" s="151"/>
      <c r="J279" s="177"/>
      <c r="K279" s="218"/>
      <c r="L279" s="206"/>
      <c r="M279" s="206"/>
      <c r="N279" s="206"/>
      <c r="O279" s="206"/>
      <c r="P279" s="207"/>
    </row>
    <row r="280" spans="1:16" s="1" customFormat="1" ht="31.8" thickBot="1" x14ac:dyDescent="0.35">
      <c r="A280" s="22"/>
      <c r="B280" s="184" t="s">
        <v>411</v>
      </c>
      <c r="C280" s="185" t="s">
        <v>422</v>
      </c>
      <c r="D280" s="198"/>
      <c r="E280" s="151"/>
      <c r="F280" s="73"/>
      <c r="G280" s="211"/>
      <c r="H280" s="211"/>
      <c r="I280" s="151"/>
      <c r="J280" s="177"/>
      <c r="K280" s="218"/>
      <c r="L280" s="206"/>
      <c r="M280" s="206"/>
      <c r="N280" s="206"/>
      <c r="O280" s="206"/>
      <c r="P280" s="207"/>
    </row>
    <row r="281" spans="1:16" s="1" customFormat="1" ht="31.8" thickBot="1" x14ac:dyDescent="0.35">
      <c r="A281" s="22"/>
      <c r="B281" s="184" t="s">
        <v>411</v>
      </c>
      <c r="C281" s="185" t="s">
        <v>423</v>
      </c>
      <c r="D281" s="198"/>
      <c r="E281" s="151"/>
      <c r="F281" s="73"/>
      <c r="G281" s="211"/>
      <c r="H281" s="211"/>
      <c r="I281" s="151"/>
      <c r="J281" s="177"/>
      <c r="K281" s="218"/>
      <c r="L281" s="206"/>
      <c r="M281" s="206"/>
      <c r="N281" s="206"/>
      <c r="O281" s="206"/>
      <c r="P281" s="207"/>
    </row>
    <row r="282" spans="1:16" s="1" customFormat="1" ht="31.8" thickBot="1" x14ac:dyDescent="0.35">
      <c r="A282" s="22"/>
      <c r="B282" s="184" t="s">
        <v>411</v>
      </c>
      <c r="C282" s="185" t="s">
        <v>424</v>
      </c>
      <c r="D282" s="198"/>
      <c r="E282" s="151"/>
      <c r="F282" s="73"/>
      <c r="G282" s="211"/>
      <c r="H282" s="211"/>
      <c r="I282" s="151"/>
      <c r="J282" s="177"/>
      <c r="K282" s="218"/>
      <c r="L282" s="206"/>
      <c r="M282" s="206"/>
      <c r="N282" s="206"/>
      <c r="O282" s="206"/>
      <c r="P282" s="207"/>
    </row>
    <row r="283" spans="1:16" s="1" customFormat="1" ht="31.8" thickBot="1" x14ac:dyDescent="0.35">
      <c r="A283" s="22"/>
      <c r="B283" s="184" t="s">
        <v>411</v>
      </c>
      <c r="C283" s="185" t="s">
        <v>425</v>
      </c>
      <c r="D283" s="198"/>
      <c r="E283" s="151"/>
      <c r="F283" s="73"/>
      <c r="G283" s="211"/>
      <c r="H283" s="211"/>
      <c r="I283" s="151"/>
      <c r="J283" s="177"/>
      <c r="K283" s="218"/>
      <c r="L283" s="206"/>
      <c r="M283" s="206"/>
      <c r="N283" s="206"/>
      <c r="O283" s="206"/>
      <c r="P283" s="207"/>
    </row>
    <row r="284" spans="1:16" s="1" customFormat="1" ht="31.8" thickBot="1" x14ac:dyDescent="0.35">
      <c r="A284" s="22"/>
      <c r="B284" s="184" t="s">
        <v>426</v>
      </c>
      <c r="C284" s="185" t="s">
        <v>111</v>
      </c>
      <c r="D284" s="198"/>
      <c r="E284" s="151"/>
      <c r="F284" s="73"/>
      <c r="G284" s="211"/>
      <c r="H284" s="211"/>
      <c r="I284" s="151"/>
      <c r="J284" s="177"/>
      <c r="K284" s="218"/>
      <c r="L284" s="206"/>
      <c r="M284" s="206"/>
      <c r="N284" s="206"/>
      <c r="O284" s="206"/>
      <c r="P284" s="207"/>
    </row>
    <row r="285" spans="1:16" s="1" customFormat="1" ht="31.8" thickBot="1" x14ac:dyDescent="0.35">
      <c r="A285" s="22"/>
      <c r="B285" s="184" t="s">
        <v>426</v>
      </c>
      <c r="C285" s="185" t="s">
        <v>427</v>
      </c>
      <c r="D285" s="198"/>
      <c r="E285" s="151"/>
      <c r="F285" s="73"/>
      <c r="G285" s="211"/>
      <c r="H285" s="211"/>
      <c r="I285" s="151"/>
      <c r="J285" s="177"/>
      <c r="K285" s="218"/>
      <c r="L285" s="206"/>
      <c r="M285" s="206"/>
      <c r="N285" s="206"/>
      <c r="O285" s="206"/>
      <c r="P285" s="207"/>
    </row>
    <row r="286" spans="1:16" s="1" customFormat="1" ht="31.8" thickBot="1" x14ac:dyDescent="0.35">
      <c r="A286" s="22"/>
      <c r="B286" s="184" t="s">
        <v>426</v>
      </c>
      <c r="C286" s="185" t="s">
        <v>428</v>
      </c>
      <c r="D286" s="198"/>
      <c r="E286" s="151"/>
      <c r="F286" s="73"/>
      <c r="G286" s="211"/>
      <c r="H286" s="211"/>
      <c r="I286" s="151"/>
      <c r="J286" s="177"/>
      <c r="K286" s="218"/>
      <c r="L286" s="206"/>
      <c r="M286" s="206"/>
      <c r="N286" s="206"/>
      <c r="O286" s="206"/>
      <c r="P286" s="207"/>
    </row>
    <row r="287" spans="1:16" s="1" customFormat="1" ht="31.8" thickBot="1" x14ac:dyDescent="0.35">
      <c r="A287" s="22"/>
      <c r="B287" s="184" t="s">
        <v>426</v>
      </c>
      <c r="C287" s="185" t="s">
        <v>429</v>
      </c>
      <c r="D287" s="198"/>
      <c r="E287" s="151"/>
      <c r="F287" s="73"/>
      <c r="G287" s="211"/>
      <c r="H287" s="211"/>
      <c r="I287" s="151"/>
      <c r="J287" s="177"/>
      <c r="K287" s="218"/>
      <c r="L287" s="206"/>
      <c r="M287" s="206"/>
      <c r="N287" s="206"/>
      <c r="O287" s="206"/>
      <c r="P287" s="207"/>
    </row>
    <row r="288" spans="1:16" s="1" customFormat="1" ht="31.8" thickBot="1" x14ac:dyDescent="0.35">
      <c r="A288" s="22"/>
      <c r="B288" s="184" t="s">
        <v>426</v>
      </c>
      <c r="C288" s="185" t="s">
        <v>430</v>
      </c>
      <c r="D288" s="198"/>
      <c r="E288" s="151"/>
      <c r="F288" s="73"/>
      <c r="G288" s="211"/>
      <c r="H288" s="211"/>
      <c r="I288" s="151"/>
      <c r="J288" s="177"/>
      <c r="K288" s="218"/>
      <c r="L288" s="206"/>
      <c r="M288" s="206"/>
      <c r="N288" s="206"/>
      <c r="O288" s="206"/>
      <c r="P288" s="207"/>
    </row>
    <row r="289" spans="1:16" s="1" customFormat="1" ht="31.8" thickBot="1" x14ac:dyDescent="0.35">
      <c r="A289" s="22"/>
      <c r="B289" s="184" t="s">
        <v>431</v>
      </c>
      <c r="C289" s="185" t="s">
        <v>432</v>
      </c>
      <c r="D289" s="198"/>
      <c r="E289" s="151"/>
      <c r="F289" s="73"/>
      <c r="G289" s="73"/>
      <c r="H289" s="211"/>
      <c r="I289" s="151"/>
      <c r="J289" s="177"/>
      <c r="K289" s="218"/>
      <c r="L289" s="206"/>
      <c r="M289" s="206"/>
      <c r="N289" s="206"/>
      <c r="O289" s="206"/>
      <c r="P289" s="207"/>
    </row>
    <row r="290" spans="1:16" s="1" customFormat="1" ht="31.8" thickBot="1" x14ac:dyDescent="0.35">
      <c r="A290" s="22"/>
      <c r="B290" s="184" t="s">
        <v>431</v>
      </c>
      <c r="C290" s="185" t="s">
        <v>433</v>
      </c>
      <c r="D290" s="198"/>
      <c r="E290" s="151"/>
      <c r="F290" s="73"/>
      <c r="G290" s="73"/>
      <c r="H290" s="211"/>
      <c r="I290" s="151"/>
      <c r="J290" s="177"/>
      <c r="K290" s="218"/>
      <c r="L290" s="206"/>
      <c r="M290" s="206"/>
      <c r="N290" s="206"/>
      <c r="O290" s="206"/>
      <c r="P290" s="207"/>
    </row>
    <row r="291" spans="1:16" s="1" customFormat="1" ht="31.8" thickBot="1" x14ac:dyDescent="0.35">
      <c r="A291" s="22"/>
      <c r="B291" s="184" t="s">
        <v>431</v>
      </c>
      <c r="C291" s="185" t="s">
        <v>434</v>
      </c>
      <c r="D291" s="198"/>
      <c r="E291" s="151"/>
      <c r="F291" s="73"/>
      <c r="G291" s="73"/>
      <c r="H291" s="211"/>
      <c r="I291" s="151"/>
      <c r="J291" s="177"/>
      <c r="K291" s="218"/>
      <c r="L291" s="206"/>
      <c r="M291" s="206"/>
      <c r="N291" s="206"/>
      <c r="O291" s="206"/>
      <c r="P291" s="207"/>
    </row>
    <row r="292" spans="1:16" s="1" customFormat="1" ht="31.8" thickBot="1" x14ac:dyDescent="0.35">
      <c r="A292" s="22"/>
      <c r="B292" s="184" t="s">
        <v>435</v>
      </c>
      <c r="C292" s="185" t="s">
        <v>436</v>
      </c>
      <c r="D292" s="198"/>
      <c r="E292" s="151"/>
      <c r="F292" s="73"/>
      <c r="G292" s="73"/>
      <c r="H292" s="211"/>
      <c r="I292" s="151"/>
      <c r="J292" s="177"/>
      <c r="K292" s="218"/>
      <c r="L292" s="206"/>
      <c r="M292" s="206"/>
      <c r="N292" s="206"/>
      <c r="O292" s="206"/>
      <c r="P292" s="207"/>
    </row>
    <row r="293" spans="1:16" s="1" customFormat="1" ht="31.8" thickBot="1" x14ac:dyDescent="0.35">
      <c r="A293" s="22"/>
      <c r="B293" s="184" t="s">
        <v>437</v>
      </c>
      <c r="C293" s="185" t="s">
        <v>438</v>
      </c>
      <c r="D293" s="198"/>
      <c r="E293" s="151"/>
      <c r="F293" s="73"/>
      <c r="G293" s="73"/>
      <c r="H293" s="211"/>
      <c r="I293" s="151"/>
      <c r="J293" s="177"/>
      <c r="K293" s="218"/>
      <c r="L293" s="206"/>
      <c r="M293" s="206"/>
      <c r="N293" s="206"/>
      <c r="O293" s="206"/>
      <c r="P293" s="207"/>
    </row>
    <row r="294" spans="1:16" s="1" customFormat="1" ht="31.8" thickBot="1" x14ac:dyDescent="0.35">
      <c r="A294" s="22"/>
      <c r="B294" s="184" t="s">
        <v>439</v>
      </c>
      <c r="C294" s="185" t="s">
        <v>440</v>
      </c>
      <c r="D294" s="198"/>
      <c r="E294" s="151"/>
      <c r="F294" s="73"/>
      <c r="G294" s="73"/>
      <c r="H294" s="211"/>
      <c r="I294" s="151"/>
      <c r="J294" s="177"/>
      <c r="K294" s="218"/>
      <c r="L294" s="206"/>
      <c r="M294" s="206"/>
      <c r="N294" s="206"/>
      <c r="O294" s="206"/>
      <c r="P294" s="207"/>
    </row>
    <row r="295" spans="1:16" s="1" customFormat="1" ht="16.2" thickBot="1" x14ac:dyDescent="0.35">
      <c r="A295" s="22"/>
      <c r="B295" s="184" t="s">
        <v>441</v>
      </c>
      <c r="C295" s="185" t="s">
        <v>442</v>
      </c>
      <c r="D295" s="198"/>
      <c r="E295" s="151"/>
      <c r="F295" s="73"/>
      <c r="G295" s="73"/>
      <c r="H295" s="211"/>
      <c r="I295" s="151"/>
      <c r="J295" s="177"/>
      <c r="K295" s="218"/>
      <c r="L295" s="206"/>
      <c r="M295" s="206"/>
      <c r="N295" s="206"/>
      <c r="O295" s="206"/>
      <c r="P295" s="207"/>
    </row>
    <row r="296" spans="1:16" s="1" customFormat="1" ht="16.2" thickBot="1" x14ac:dyDescent="0.35">
      <c r="A296" s="22"/>
      <c r="B296" s="184" t="s">
        <v>443</v>
      </c>
      <c r="C296" s="185" t="s">
        <v>444</v>
      </c>
      <c r="D296" s="198"/>
      <c r="E296" s="151"/>
      <c r="F296" s="73"/>
      <c r="G296" s="73"/>
      <c r="H296" s="211"/>
      <c r="I296" s="151"/>
      <c r="J296" s="177"/>
      <c r="K296" s="218"/>
      <c r="L296" s="206"/>
      <c r="M296" s="206"/>
      <c r="N296" s="206"/>
      <c r="O296" s="206"/>
      <c r="P296" s="207"/>
    </row>
    <row r="297" spans="1:16" s="1" customFormat="1" ht="16.2" thickBot="1" x14ac:dyDescent="0.35">
      <c r="A297" s="22"/>
      <c r="B297" s="184" t="s">
        <v>441</v>
      </c>
      <c r="C297" s="185" t="s">
        <v>445</v>
      </c>
      <c r="D297" s="198"/>
      <c r="E297" s="151"/>
      <c r="F297" s="73"/>
      <c r="G297" s="73"/>
      <c r="H297" s="211"/>
      <c r="I297" s="151"/>
      <c r="J297" s="177"/>
      <c r="K297" s="218"/>
      <c r="L297" s="206"/>
      <c r="M297" s="206"/>
      <c r="N297" s="206"/>
      <c r="O297" s="206"/>
      <c r="P297" s="207"/>
    </row>
    <row r="298" spans="1:16" s="1" customFormat="1" ht="16.2" thickBot="1" x14ac:dyDescent="0.35">
      <c r="A298" s="22"/>
      <c r="B298" s="140" t="s">
        <v>446</v>
      </c>
      <c r="C298" s="185" t="s">
        <v>447</v>
      </c>
      <c r="D298" s="198"/>
      <c r="E298" s="151"/>
      <c r="F298" s="73"/>
      <c r="G298" s="73"/>
      <c r="H298" s="211"/>
      <c r="I298" s="151"/>
      <c r="J298" s="177"/>
      <c r="K298" s="218"/>
      <c r="L298" s="206"/>
      <c r="M298" s="206"/>
      <c r="N298" s="206"/>
      <c r="O298" s="206"/>
      <c r="P298" s="207"/>
    </row>
    <row r="299" spans="1:16" s="1" customFormat="1" ht="16.2" thickBot="1" x14ac:dyDescent="0.35">
      <c r="A299" s="22"/>
      <c r="B299" s="140" t="s">
        <v>448</v>
      </c>
      <c r="C299" s="185" t="s">
        <v>449</v>
      </c>
      <c r="D299" s="198"/>
      <c r="E299" s="151"/>
      <c r="F299" s="73"/>
      <c r="G299" s="73"/>
      <c r="H299" s="211"/>
      <c r="I299" s="151"/>
      <c r="J299" s="177"/>
      <c r="K299" s="218"/>
      <c r="L299" s="206"/>
      <c r="M299" s="206"/>
      <c r="N299" s="206"/>
      <c r="O299" s="206"/>
      <c r="P299" s="207"/>
    </row>
    <row r="300" spans="1:16" s="1" customFormat="1" ht="16.2" thickBot="1" x14ac:dyDescent="0.35">
      <c r="A300" s="22"/>
      <c r="B300" s="184" t="s">
        <v>450</v>
      </c>
      <c r="C300" s="185" t="s">
        <v>451</v>
      </c>
      <c r="D300" s="198"/>
      <c r="E300" s="151"/>
      <c r="F300" s="73"/>
      <c r="G300" s="73"/>
      <c r="H300" s="73"/>
      <c r="I300" s="73"/>
      <c r="J300" s="177"/>
      <c r="K300" s="218"/>
      <c r="L300" s="206"/>
      <c r="M300" s="206"/>
      <c r="N300" s="206"/>
      <c r="O300" s="206"/>
      <c r="P300" s="207"/>
    </row>
    <row r="301" spans="1:16" s="1" customFormat="1" ht="16.2" thickBot="1" x14ac:dyDescent="0.35">
      <c r="A301" s="22"/>
      <c r="B301" s="140" t="s">
        <v>452</v>
      </c>
      <c r="C301" s="185" t="s">
        <v>416</v>
      </c>
      <c r="D301" s="199"/>
      <c r="E301" s="201"/>
      <c r="F301" s="200"/>
      <c r="G301" s="200"/>
      <c r="H301" s="200"/>
      <c r="I301" s="200"/>
      <c r="J301" s="219"/>
      <c r="K301" s="220"/>
      <c r="L301" s="208"/>
      <c r="M301" s="208"/>
      <c r="N301" s="208"/>
      <c r="O301" s="208"/>
      <c r="P301" s="209"/>
    </row>
    <row r="302" spans="1:16" s="1" customFormat="1" ht="16.2" customHeight="1" thickBot="1" x14ac:dyDescent="0.35">
      <c r="A302" s="45" t="s">
        <v>61</v>
      </c>
      <c r="B302" s="54" t="s">
        <v>454</v>
      </c>
      <c r="C302" s="27"/>
      <c r="D302" s="214"/>
      <c r="E302" s="214"/>
      <c r="F302" s="133"/>
      <c r="G302" s="134"/>
      <c r="H302" s="134"/>
      <c r="I302" s="135"/>
      <c r="J302" s="215"/>
      <c r="K302" s="216"/>
      <c r="L302" s="216"/>
      <c r="M302" s="216"/>
      <c r="N302" s="216"/>
      <c r="O302" s="216"/>
      <c r="P302" s="217"/>
    </row>
    <row r="303" spans="1:16" s="1" customFormat="1" ht="21" x14ac:dyDescent="0.3">
      <c r="A303" s="22"/>
      <c r="B303" s="186" t="s">
        <v>455</v>
      </c>
      <c r="C303" s="187" t="s">
        <v>261</v>
      </c>
      <c r="D303" s="56">
        <v>45969</v>
      </c>
      <c r="E303" s="56">
        <v>46333</v>
      </c>
      <c r="F303" s="19">
        <v>412.48</v>
      </c>
      <c r="G303" s="70">
        <v>392</v>
      </c>
      <c r="H303" s="70">
        <v>56</v>
      </c>
      <c r="I303" s="19">
        <f>F303-G303-H303</f>
        <v>-35.519999999999982</v>
      </c>
      <c r="J303" s="203" t="s">
        <v>463</v>
      </c>
      <c r="K303" s="204" t="s">
        <v>463</v>
      </c>
      <c r="L303" s="212"/>
      <c r="M303" s="212"/>
      <c r="N303" s="212"/>
      <c r="O303" s="212"/>
      <c r="P303" s="212"/>
    </row>
    <row r="304" spans="1:16" s="1" customFormat="1" ht="21" x14ac:dyDescent="0.3">
      <c r="A304" s="22"/>
      <c r="B304" s="188" t="s">
        <v>257</v>
      </c>
      <c r="C304" s="189" t="s">
        <v>262</v>
      </c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</row>
    <row r="305" spans="1:16" s="1" customFormat="1" ht="21" x14ac:dyDescent="0.3">
      <c r="A305" s="22"/>
      <c r="B305" s="188"/>
      <c r="C305" s="189" t="s">
        <v>264</v>
      </c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</row>
    <row r="306" spans="1:16" s="1" customFormat="1" ht="42.6" thickBot="1" x14ac:dyDescent="0.35">
      <c r="A306" s="22"/>
      <c r="B306" s="190" t="s">
        <v>456</v>
      </c>
      <c r="C306" s="191" t="s">
        <v>181</v>
      </c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</row>
    <row r="307" spans="1:16" s="1" customFormat="1" ht="21.6" thickBot="1" x14ac:dyDescent="0.35">
      <c r="A307" s="22"/>
      <c r="B307" s="190" t="s">
        <v>457</v>
      </c>
      <c r="C307" s="192" t="s">
        <v>269</v>
      </c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</row>
    <row r="308" spans="1:16" s="1" customFormat="1" ht="21" x14ac:dyDescent="0.3">
      <c r="A308" s="22"/>
      <c r="B308" s="193" t="s">
        <v>458</v>
      </c>
      <c r="C308" s="194" t="s">
        <v>200</v>
      </c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</row>
    <row r="309" spans="1:16" s="1" customFormat="1" ht="21.6" thickBot="1" x14ac:dyDescent="0.35">
      <c r="A309" s="22"/>
      <c r="B309" s="195" t="s">
        <v>459</v>
      </c>
      <c r="C309" s="196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</row>
    <row r="310" spans="1:16" s="1" customFormat="1" x14ac:dyDescent="0.3">
      <c r="A310" s="22"/>
    </row>
    <row r="311" spans="1:16" s="1" customFormat="1" x14ac:dyDescent="0.3">
      <c r="A311" s="22"/>
    </row>
    <row r="312" spans="1:16" s="1" customFormat="1" x14ac:dyDescent="0.3">
      <c r="A312" s="22"/>
    </row>
    <row r="313" spans="1:16" s="1" customFormat="1" x14ac:dyDescent="0.3">
      <c r="A313" s="22"/>
    </row>
    <row r="314" spans="1:16" s="1" customFormat="1" x14ac:dyDescent="0.3">
      <c r="A314" s="22"/>
    </row>
    <row r="315" spans="1:16" s="1" customFormat="1" x14ac:dyDescent="0.3">
      <c r="A315" s="22"/>
    </row>
    <row r="316" spans="1:16" s="1" customFormat="1" x14ac:dyDescent="0.3">
      <c r="A316" s="22"/>
    </row>
    <row r="317" spans="1:16" s="1" customFormat="1" x14ac:dyDescent="0.3">
      <c r="A317" s="22"/>
    </row>
    <row r="318" spans="1:16" s="1" customFormat="1" x14ac:dyDescent="0.3">
      <c r="A318" s="22"/>
    </row>
    <row r="319" spans="1:16" s="1" customFormat="1" x14ac:dyDescent="0.3">
      <c r="A319" s="22"/>
    </row>
    <row r="320" spans="1:16" s="1" customFormat="1" x14ac:dyDescent="0.3">
      <c r="A320" s="22"/>
    </row>
    <row r="321" spans="1:1" s="1" customFormat="1" x14ac:dyDescent="0.3">
      <c r="A321" s="22"/>
    </row>
    <row r="322" spans="1:1" s="1" customFormat="1" x14ac:dyDescent="0.3">
      <c r="A322" s="22"/>
    </row>
    <row r="323" spans="1:1" s="1" customFormat="1" x14ac:dyDescent="0.3">
      <c r="A323" s="22"/>
    </row>
    <row r="324" spans="1:1" s="1" customFormat="1" x14ac:dyDescent="0.3">
      <c r="A324" s="22"/>
    </row>
    <row r="325" spans="1:1" s="1" customFormat="1" x14ac:dyDescent="0.3">
      <c r="A325" s="22"/>
    </row>
    <row r="326" spans="1:1" s="1" customFormat="1" x14ac:dyDescent="0.3">
      <c r="A326" s="22"/>
    </row>
    <row r="327" spans="1:1" s="1" customFormat="1" x14ac:dyDescent="0.3">
      <c r="A327" s="22"/>
    </row>
    <row r="328" spans="1:1" s="1" customFormat="1" x14ac:dyDescent="0.3">
      <c r="A328" s="22"/>
    </row>
    <row r="329" spans="1:1" s="1" customFormat="1" x14ac:dyDescent="0.3">
      <c r="A329" s="22"/>
    </row>
    <row r="330" spans="1:1" s="1" customFormat="1" x14ac:dyDescent="0.3">
      <c r="A330" s="22"/>
    </row>
    <row r="331" spans="1:1" s="1" customFormat="1" x14ac:dyDescent="0.3">
      <c r="A331" s="22"/>
    </row>
    <row r="332" spans="1:1" s="1" customFormat="1" x14ac:dyDescent="0.3">
      <c r="A332" s="22"/>
    </row>
    <row r="333" spans="1:1" s="1" customFormat="1" x14ac:dyDescent="0.3">
      <c r="A333" s="22"/>
    </row>
    <row r="334" spans="1:1" s="1" customFormat="1" x14ac:dyDescent="0.3">
      <c r="A334" s="22"/>
    </row>
    <row r="335" spans="1:1" s="1" customFormat="1" x14ac:dyDescent="0.3">
      <c r="A335" s="22"/>
    </row>
    <row r="336" spans="1:1" s="1" customFormat="1" x14ac:dyDescent="0.3">
      <c r="A336" s="22"/>
    </row>
    <row r="337" spans="1:1" s="1" customFormat="1" x14ac:dyDescent="0.3">
      <c r="A337" s="22"/>
    </row>
    <row r="338" spans="1:1" s="1" customFormat="1" x14ac:dyDescent="0.3">
      <c r="A338" s="22"/>
    </row>
    <row r="339" spans="1:1" s="1" customFormat="1" x14ac:dyDescent="0.3">
      <c r="A339" s="22"/>
    </row>
    <row r="340" spans="1:1" s="1" customFormat="1" x14ac:dyDescent="0.3">
      <c r="A340" s="22"/>
    </row>
    <row r="341" spans="1:1" s="1" customFormat="1" x14ac:dyDescent="0.3">
      <c r="A341" s="22"/>
    </row>
    <row r="342" spans="1:1" s="1" customFormat="1" x14ac:dyDescent="0.3">
      <c r="A342" s="22"/>
    </row>
    <row r="343" spans="1:1" s="1" customFormat="1" x14ac:dyDescent="0.3">
      <c r="A343" s="22"/>
    </row>
    <row r="344" spans="1:1" s="1" customFormat="1" x14ac:dyDescent="0.3">
      <c r="A344" s="22"/>
    </row>
    <row r="345" spans="1:1" s="1" customFormat="1" x14ac:dyDescent="0.3">
      <c r="A345" s="22"/>
    </row>
    <row r="346" spans="1:1" s="1" customFormat="1" x14ac:dyDescent="0.3">
      <c r="A346" s="22"/>
    </row>
    <row r="347" spans="1:1" s="1" customFormat="1" x14ac:dyDescent="0.3">
      <c r="A347" s="22"/>
    </row>
    <row r="348" spans="1:1" s="1" customFormat="1" x14ac:dyDescent="0.3">
      <c r="A348" s="22"/>
    </row>
    <row r="349" spans="1:1" s="1" customFormat="1" x14ac:dyDescent="0.3">
      <c r="A349" s="22"/>
    </row>
    <row r="350" spans="1:1" s="1" customFormat="1" x14ac:dyDescent="0.3">
      <c r="A350" s="22"/>
    </row>
    <row r="351" spans="1:1" s="1" customFormat="1" x14ac:dyDescent="0.3">
      <c r="A351" s="22"/>
    </row>
    <row r="352" spans="1:1" s="1" customFormat="1" x14ac:dyDescent="0.3">
      <c r="A352" s="22"/>
    </row>
    <row r="353" spans="1:1" s="1" customFormat="1" x14ac:dyDescent="0.3">
      <c r="A353" s="22"/>
    </row>
    <row r="354" spans="1:1" s="1" customFormat="1" x14ac:dyDescent="0.3">
      <c r="A354" s="22"/>
    </row>
    <row r="355" spans="1:1" s="1" customFormat="1" x14ac:dyDescent="0.3">
      <c r="A355" s="22"/>
    </row>
    <row r="356" spans="1:1" s="1" customFormat="1" x14ac:dyDescent="0.3">
      <c r="A356" s="22"/>
    </row>
    <row r="357" spans="1:1" s="1" customFormat="1" x14ac:dyDescent="0.3">
      <c r="A357" s="22"/>
    </row>
    <row r="358" spans="1:1" s="1" customFormat="1" x14ac:dyDescent="0.3">
      <c r="A358" s="22"/>
    </row>
    <row r="359" spans="1:1" s="1" customFormat="1" x14ac:dyDescent="0.3">
      <c r="A359" s="22"/>
    </row>
    <row r="360" spans="1:1" s="1" customFormat="1" x14ac:dyDescent="0.3">
      <c r="A360" s="22"/>
    </row>
    <row r="361" spans="1:1" s="1" customFormat="1" x14ac:dyDescent="0.3">
      <c r="A361" s="22"/>
    </row>
    <row r="362" spans="1:1" s="1" customFormat="1" x14ac:dyDescent="0.3">
      <c r="A362" s="22"/>
    </row>
    <row r="363" spans="1:1" s="1" customFormat="1" x14ac:dyDescent="0.3">
      <c r="A363" s="22"/>
    </row>
    <row r="364" spans="1:1" s="1" customFormat="1" x14ac:dyDescent="0.3">
      <c r="A364" s="22"/>
    </row>
    <row r="365" spans="1:1" s="1" customFormat="1" x14ac:dyDescent="0.3">
      <c r="A365" s="22"/>
    </row>
    <row r="366" spans="1:1" s="1" customFormat="1" x14ac:dyDescent="0.3">
      <c r="A366" s="22"/>
    </row>
    <row r="367" spans="1:1" s="1" customFormat="1" x14ac:dyDescent="0.3">
      <c r="A367" s="22"/>
    </row>
    <row r="368" spans="1:1" s="1" customFormat="1" x14ac:dyDescent="0.3">
      <c r="A368" s="22"/>
    </row>
    <row r="369" spans="1:1" s="1" customFormat="1" x14ac:dyDescent="0.3">
      <c r="A369" s="22"/>
    </row>
    <row r="370" spans="1:1" s="1" customFormat="1" x14ac:dyDescent="0.3">
      <c r="A370" s="22"/>
    </row>
    <row r="371" spans="1:1" s="1" customFormat="1" x14ac:dyDescent="0.3">
      <c r="A371" s="22"/>
    </row>
    <row r="372" spans="1:1" s="1" customFormat="1" x14ac:dyDescent="0.3">
      <c r="A372" s="22"/>
    </row>
    <row r="373" spans="1:1" s="1" customFormat="1" x14ac:dyDescent="0.3">
      <c r="A373" s="22"/>
    </row>
    <row r="374" spans="1:1" s="1" customFormat="1" x14ac:dyDescent="0.3">
      <c r="A374" s="22"/>
    </row>
    <row r="375" spans="1:1" s="1" customFormat="1" x14ac:dyDescent="0.3">
      <c r="A375" s="22"/>
    </row>
    <row r="376" spans="1:1" s="1" customFormat="1" x14ac:dyDescent="0.3">
      <c r="A376" s="22"/>
    </row>
    <row r="377" spans="1:1" s="1" customFormat="1" x14ac:dyDescent="0.3">
      <c r="A377" s="22"/>
    </row>
    <row r="378" spans="1:1" s="1" customFormat="1" x14ac:dyDescent="0.3">
      <c r="A378" s="22"/>
    </row>
    <row r="379" spans="1:1" s="1" customFormat="1" x14ac:dyDescent="0.3">
      <c r="A379" s="22"/>
    </row>
    <row r="380" spans="1:1" s="1" customFormat="1" x14ac:dyDescent="0.3">
      <c r="A380" s="22"/>
    </row>
    <row r="381" spans="1:1" s="1" customFormat="1" x14ac:dyDescent="0.3">
      <c r="A381" s="22"/>
    </row>
    <row r="382" spans="1:1" s="1" customFormat="1" x14ac:dyDescent="0.3">
      <c r="A382" s="22"/>
    </row>
    <row r="383" spans="1:1" s="1" customFormat="1" x14ac:dyDescent="0.3">
      <c r="A383" s="22"/>
    </row>
    <row r="384" spans="1:1" s="1" customFormat="1" x14ac:dyDescent="0.3">
      <c r="A384" s="22"/>
    </row>
    <row r="385" spans="1:1" s="1" customFormat="1" x14ac:dyDescent="0.3">
      <c r="A385" s="22"/>
    </row>
    <row r="386" spans="1:1" s="1" customFormat="1" x14ac:dyDescent="0.3">
      <c r="A386" s="22"/>
    </row>
    <row r="387" spans="1:1" s="1" customFormat="1" x14ac:dyDescent="0.3">
      <c r="A387" s="22"/>
    </row>
    <row r="388" spans="1:1" s="1" customFormat="1" x14ac:dyDescent="0.3">
      <c r="A388" s="22"/>
    </row>
    <row r="389" spans="1:1" s="1" customFormat="1" x14ac:dyDescent="0.3">
      <c r="A389" s="22"/>
    </row>
    <row r="390" spans="1:1" s="1" customFormat="1" x14ac:dyDescent="0.3">
      <c r="A390" s="22"/>
    </row>
    <row r="391" spans="1:1" s="1" customFormat="1" x14ac:dyDescent="0.3">
      <c r="A391" s="22"/>
    </row>
    <row r="392" spans="1:1" s="1" customFormat="1" x14ac:dyDescent="0.3">
      <c r="A392" s="22"/>
    </row>
    <row r="393" spans="1:1" s="1" customFormat="1" x14ac:dyDescent="0.3">
      <c r="A393" s="22"/>
    </row>
    <row r="394" spans="1:1" s="1" customFormat="1" x14ac:dyDescent="0.3">
      <c r="A394" s="22"/>
    </row>
    <row r="395" spans="1:1" s="1" customFormat="1" x14ac:dyDescent="0.3">
      <c r="A395" s="22"/>
    </row>
    <row r="396" spans="1:1" s="1" customFormat="1" x14ac:dyDescent="0.3">
      <c r="A396" s="22"/>
    </row>
    <row r="397" spans="1:1" s="1" customFormat="1" x14ac:dyDescent="0.3">
      <c r="A397" s="22"/>
    </row>
    <row r="398" spans="1:1" s="1" customFormat="1" x14ac:dyDescent="0.3">
      <c r="A398" s="22"/>
    </row>
    <row r="399" spans="1:1" s="1" customFormat="1" x14ac:dyDescent="0.3">
      <c r="A399" s="22"/>
    </row>
    <row r="400" spans="1:1" s="1" customFormat="1" x14ac:dyDescent="0.3">
      <c r="A400" s="22"/>
    </row>
    <row r="401" spans="1:1" s="1" customFormat="1" x14ac:dyDescent="0.3">
      <c r="A401" s="22"/>
    </row>
    <row r="402" spans="1:1" s="1" customFormat="1" x14ac:dyDescent="0.3">
      <c r="A402" s="22"/>
    </row>
    <row r="403" spans="1:1" s="1" customFormat="1" x14ac:dyDescent="0.3">
      <c r="A403" s="22"/>
    </row>
    <row r="404" spans="1:1" s="1" customFormat="1" x14ac:dyDescent="0.3">
      <c r="A404" s="22"/>
    </row>
    <row r="405" spans="1:1" s="1" customFormat="1" x14ac:dyDescent="0.3">
      <c r="A405" s="22"/>
    </row>
    <row r="406" spans="1:1" s="1" customFormat="1" x14ac:dyDescent="0.3">
      <c r="A406" s="22"/>
    </row>
    <row r="407" spans="1:1" s="1" customFormat="1" x14ac:dyDescent="0.3">
      <c r="A407" s="22"/>
    </row>
    <row r="408" spans="1:1" s="1" customFormat="1" x14ac:dyDescent="0.3">
      <c r="A408" s="22"/>
    </row>
    <row r="409" spans="1:1" s="1" customFormat="1" x14ac:dyDescent="0.3">
      <c r="A409" s="22"/>
    </row>
    <row r="410" spans="1:1" s="1" customFormat="1" x14ac:dyDescent="0.3">
      <c r="A410" s="22"/>
    </row>
    <row r="411" spans="1:1" s="1" customFormat="1" x14ac:dyDescent="0.3">
      <c r="A411" s="22"/>
    </row>
    <row r="412" spans="1:1" s="1" customFormat="1" x14ac:dyDescent="0.3">
      <c r="A412" s="22"/>
    </row>
    <row r="413" spans="1:1" s="1" customFormat="1" x14ac:dyDescent="0.3">
      <c r="A413" s="22"/>
    </row>
    <row r="414" spans="1:1" s="1" customFormat="1" x14ac:dyDescent="0.3">
      <c r="A414" s="22"/>
    </row>
    <row r="415" spans="1:1" s="1" customFormat="1" x14ac:dyDescent="0.3">
      <c r="A415" s="22"/>
    </row>
    <row r="416" spans="1:1" s="1" customFormat="1" x14ac:dyDescent="0.3">
      <c r="A416" s="22"/>
    </row>
    <row r="417" spans="1:1" s="1" customFormat="1" x14ac:dyDescent="0.3">
      <c r="A417" s="22"/>
    </row>
    <row r="418" spans="1:1" s="1" customFormat="1" x14ac:dyDescent="0.3">
      <c r="A418" s="22"/>
    </row>
    <row r="419" spans="1:1" s="1" customFormat="1" x14ac:dyDescent="0.3">
      <c r="A419" s="22"/>
    </row>
    <row r="420" spans="1:1" s="1" customFormat="1" x14ac:dyDescent="0.3">
      <c r="A420" s="22"/>
    </row>
    <row r="421" spans="1:1" s="1" customFormat="1" x14ac:dyDescent="0.3">
      <c r="A421" s="22"/>
    </row>
    <row r="422" spans="1:1" s="1" customFormat="1" x14ac:dyDescent="0.3">
      <c r="A422" s="22"/>
    </row>
    <row r="423" spans="1:1" s="1" customFormat="1" x14ac:dyDescent="0.3">
      <c r="A423" s="22"/>
    </row>
    <row r="424" spans="1:1" s="1" customFormat="1" x14ac:dyDescent="0.3">
      <c r="A424" s="22"/>
    </row>
    <row r="425" spans="1:1" s="1" customFormat="1" x14ac:dyDescent="0.3">
      <c r="A425" s="22"/>
    </row>
    <row r="426" spans="1:1" s="1" customFormat="1" x14ac:dyDescent="0.3">
      <c r="A426" s="22"/>
    </row>
    <row r="427" spans="1:1" s="1" customFormat="1" x14ac:dyDescent="0.3">
      <c r="A427" s="22"/>
    </row>
    <row r="428" spans="1:1" s="1" customFormat="1" x14ac:dyDescent="0.3">
      <c r="A428" s="22"/>
    </row>
    <row r="429" spans="1:1" s="1" customFormat="1" x14ac:dyDescent="0.3">
      <c r="A429" s="22"/>
    </row>
    <row r="430" spans="1:1" s="1" customFormat="1" x14ac:dyDescent="0.3">
      <c r="A430" s="22"/>
    </row>
    <row r="431" spans="1:1" s="1" customFormat="1" x14ac:dyDescent="0.3">
      <c r="A431" s="22"/>
    </row>
    <row r="432" spans="1:1" s="1" customFormat="1" x14ac:dyDescent="0.3">
      <c r="A432" s="22"/>
    </row>
    <row r="433" spans="1:1" s="1" customFormat="1" x14ac:dyDescent="0.3">
      <c r="A433" s="22"/>
    </row>
    <row r="434" spans="1:1" s="1" customFormat="1" x14ac:dyDescent="0.3">
      <c r="A434" s="22"/>
    </row>
    <row r="435" spans="1:1" s="1" customFormat="1" x14ac:dyDescent="0.3">
      <c r="A435" s="22"/>
    </row>
    <row r="436" spans="1:1" s="1" customFormat="1" x14ac:dyDescent="0.3">
      <c r="A436" s="22"/>
    </row>
    <row r="437" spans="1:1" s="1" customFormat="1" x14ac:dyDescent="0.3">
      <c r="A437" s="22"/>
    </row>
    <row r="438" spans="1:1" s="1" customFormat="1" x14ac:dyDescent="0.3">
      <c r="A438" s="22"/>
    </row>
    <row r="439" spans="1:1" s="1" customFormat="1" x14ac:dyDescent="0.3">
      <c r="A439" s="22"/>
    </row>
    <row r="440" spans="1:1" s="1" customFormat="1" x14ac:dyDescent="0.3">
      <c r="A440" s="22"/>
    </row>
    <row r="441" spans="1:1" s="1" customFormat="1" x14ac:dyDescent="0.3">
      <c r="A441" s="22"/>
    </row>
    <row r="442" spans="1:1" s="1" customFormat="1" x14ac:dyDescent="0.3">
      <c r="A442" s="22"/>
    </row>
    <row r="443" spans="1:1" s="1" customFormat="1" x14ac:dyDescent="0.3">
      <c r="A443" s="22"/>
    </row>
    <row r="444" spans="1:1" s="1" customFormat="1" x14ac:dyDescent="0.3">
      <c r="A444" s="22"/>
    </row>
    <row r="445" spans="1:1" s="1" customFormat="1" x14ac:dyDescent="0.3">
      <c r="A445" s="22"/>
    </row>
    <row r="446" spans="1:1" s="1" customFormat="1" x14ac:dyDescent="0.3">
      <c r="A446" s="22"/>
    </row>
    <row r="447" spans="1:1" s="1" customFormat="1" x14ac:dyDescent="0.3">
      <c r="A447" s="22"/>
    </row>
    <row r="448" spans="1:1" s="1" customFormat="1" x14ac:dyDescent="0.3">
      <c r="A448" s="22"/>
    </row>
    <row r="449" spans="1:1" s="1" customFormat="1" x14ac:dyDescent="0.3">
      <c r="A449" s="22"/>
    </row>
    <row r="450" spans="1:1" s="1" customFormat="1" x14ac:dyDescent="0.3">
      <c r="A450" s="22"/>
    </row>
    <row r="451" spans="1:1" s="1" customFormat="1" x14ac:dyDescent="0.3">
      <c r="A451" s="22"/>
    </row>
    <row r="452" spans="1:1" s="1" customFormat="1" x14ac:dyDescent="0.3">
      <c r="A452" s="22"/>
    </row>
    <row r="453" spans="1:1" s="1" customFormat="1" x14ac:dyDescent="0.3">
      <c r="A453" s="22"/>
    </row>
    <row r="454" spans="1:1" s="1" customFormat="1" x14ac:dyDescent="0.3">
      <c r="A454" s="22"/>
    </row>
    <row r="455" spans="1:1" s="1" customFormat="1" x14ac:dyDescent="0.3">
      <c r="A455" s="22"/>
    </row>
    <row r="456" spans="1:1" s="1" customFormat="1" x14ac:dyDescent="0.3">
      <c r="A456" s="22"/>
    </row>
    <row r="457" spans="1:1" s="1" customFormat="1" x14ac:dyDescent="0.3">
      <c r="A457" s="22"/>
    </row>
    <row r="458" spans="1:1" s="1" customFormat="1" x14ac:dyDescent="0.3">
      <c r="A458" s="22"/>
    </row>
    <row r="459" spans="1:1" s="1" customFormat="1" x14ac:dyDescent="0.3">
      <c r="A459" s="22"/>
    </row>
    <row r="460" spans="1:1" s="1" customFormat="1" x14ac:dyDescent="0.3">
      <c r="A460" s="22"/>
    </row>
    <row r="461" spans="1:1" s="1" customFormat="1" x14ac:dyDescent="0.3">
      <c r="A461" s="22"/>
    </row>
    <row r="462" spans="1:1" s="1" customFormat="1" x14ac:dyDescent="0.3">
      <c r="A462" s="22"/>
    </row>
    <row r="463" spans="1:1" s="1" customFormat="1" x14ac:dyDescent="0.3">
      <c r="A463" s="22"/>
    </row>
    <row r="464" spans="1:1" s="1" customFormat="1" x14ac:dyDescent="0.3">
      <c r="A464" s="22"/>
    </row>
    <row r="465" spans="1:1" s="1" customFormat="1" x14ac:dyDescent="0.3">
      <c r="A465" s="22"/>
    </row>
    <row r="466" spans="1:1" s="1" customFormat="1" x14ac:dyDescent="0.3">
      <c r="A466" s="22"/>
    </row>
    <row r="467" spans="1:1" s="1" customFormat="1" x14ac:dyDescent="0.3">
      <c r="A467" s="22"/>
    </row>
    <row r="468" spans="1:1" s="1" customFormat="1" x14ac:dyDescent="0.3">
      <c r="A468" s="22"/>
    </row>
    <row r="469" spans="1:1" s="1" customFormat="1" x14ac:dyDescent="0.3">
      <c r="A469" s="22"/>
    </row>
    <row r="470" spans="1:1" s="1" customFormat="1" x14ac:dyDescent="0.3">
      <c r="A470" s="22"/>
    </row>
    <row r="471" spans="1:1" s="1" customFormat="1" x14ac:dyDescent="0.3">
      <c r="A471" s="22"/>
    </row>
    <row r="472" spans="1:1" s="1" customFormat="1" x14ac:dyDescent="0.3">
      <c r="A472" s="22"/>
    </row>
    <row r="473" spans="1:1" s="1" customFormat="1" x14ac:dyDescent="0.3">
      <c r="A473" s="22"/>
    </row>
    <row r="474" spans="1:1" s="1" customFormat="1" x14ac:dyDescent="0.3">
      <c r="A474" s="22"/>
    </row>
    <row r="475" spans="1:1" s="1" customFormat="1" x14ac:dyDescent="0.3">
      <c r="A475" s="22"/>
    </row>
    <row r="476" spans="1:1" s="1" customFormat="1" x14ac:dyDescent="0.3">
      <c r="A476" s="22"/>
    </row>
    <row r="477" spans="1:1" s="1" customFormat="1" x14ac:dyDescent="0.3">
      <c r="A477" s="22"/>
    </row>
    <row r="478" spans="1:1" s="1" customFormat="1" x14ac:dyDescent="0.3">
      <c r="A478" s="22"/>
    </row>
    <row r="479" spans="1:1" s="1" customFormat="1" x14ac:dyDescent="0.3">
      <c r="A479" s="22"/>
    </row>
    <row r="480" spans="1:1" s="1" customFormat="1" x14ac:dyDescent="0.3">
      <c r="A480" s="22"/>
    </row>
    <row r="481" spans="1:1" s="1" customFormat="1" x14ac:dyDescent="0.3">
      <c r="A481" s="22"/>
    </row>
    <row r="482" spans="1:1" s="1" customFormat="1" x14ac:dyDescent="0.3">
      <c r="A482" s="22"/>
    </row>
    <row r="483" spans="1:1" s="1" customFormat="1" x14ac:dyDescent="0.3">
      <c r="A483" s="22"/>
    </row>
    <row r="484" spans="1:1" s="1" customFormat="1" x14ac:dyDescent="0.3">
      <c r="A484" s="22"/>
    </row>
    <row r="485" spans="1:1" s="1" customFormat="1" x14ac:dyDescent="0.3">
      <c r="A485" s="22"/>
    </row>
    <row r="486" spans="1:1" s="1" customFormat="1" x14ac:dyDescent="0.3">
      <c r="A486" s="22"/>
    </row>
    <row r="487" spans="1:1" s="1" customFormat="1" x14ac:dyDescent="0.3">
      <c r="A487" s="22"/>
    </row>
    <row r="488" spans="1:1" s="1" customFormat="1" x14ac:dyDescent="0.3">
      <c r="A488" s="22"/>
    </row>
    <row r="489" spans="1:1" s="1" customFormat="1" x14ac:dyDescent="0.3">
      <c r="A489" s="22"/>
    </row>
    <row r="490" spans="1:1" s="1" customFormat="1" x14ac:dyDescent="0.3">
      <c r="A490" s="22"/>
    </row>
    <row r="491" spans="1:1" s="1" customFormat="1" x14ac:dyDescent="0.3">
      <c r="A491" s="22"/>
    </row>
    <row r="492" spans="1:1" s="1" customFormat="1" x14ac:dyDescent="0.3">
      <c r="A492" s="22"/>
    </row>
    <row r="493" spans="1:1" s="1" customFormat="1" x14ac:dyDescent="0.3">
      <c r="A493" s="22"/>
    </row>
    <row r="494" spans="1:1" s="1" customFormat="1" x14ac:dyDescent="0.3">
      <c r="A494" s="22"/>
    </row>
    <row r="495" spans="1:1" s="1" customFormat="1" x14ac:dyDescent="0.3">
      <c r="A495" s="22"/>
    </row>
    <row r="496" spans="1:1" s="1" customFormat="1" x14ac:dyDescent="0.3">
      <c r="A496" s="22"/>
    </row>
    <row r="497" spans="1:1" s="1" customFormat="1" x14ac:dyDescent="0.3">
      <c r="A497" s="22"/>
    </row>
    <row r="498" spans="1:1" s="1" customFormat="1" x14ac:dyDescent="0.3">
      <c r="A498" s="22"/>
    </row>
    <row r="499" spans="1:1" s="1" customFormat="1" x14ac:dyDescent="0.3">
      <c r="A499" s="22"/>
    </row>
    <row r="500" spans="1:1" s="1" customFormat="1" x14ac:dyDescent="0.3">
      <c r="A500" s="22"/>
    </row>
    <row r="501" spans="1:1" s="1" customFormat="1" x14ac:dyDescent="0.3">
      <c r="A501" s="22"/>
    </row>
    <row r="502" spans="1:1" s="1" customFormat="1" x14ac:dyDescent="0.3">
      <c r="A502" s="22"/>
    </row>
    <row r="503" spans="1:1" s="1" customFormat="1" x14ac:dyDescent="0.3">
      <c r="A503" s="22"/>
    </row>
    <row r="504" spans="1:1" s="1" customFormat="1" x14ac:dyDescent="0.3">
      <c r="A504" s="22"/>
    </row>
    <row r="505" spans="1:1" s="1" customFormat="1" x14ac:dyDescent="0.3">
      <c r="A505" s="22"/>
    </row>
    <row r="506" spans="1:1" s="1" customFormat="1" x14ac:dyDescent="0.3">
      <c r="A506" s="22"/>
    </row>
    <row r="507" spans="1:1" s="1" customFormat="1" x14ac:dyDescent="0.3">
      <c r="A507" s="22"/>
    </row>
    <row r="508" spans="1:1" s="1" customFormat="1" x14ac:dyDescent="0.3">
      <c r="A508" s="22"/>
    </row>
    <row r="509" spans="1:1" s="1" customFormat="1" x14ac:dyDescent="0.3">
      <c r="A509" s="22"/>
    </row>
    <row r="510" spans="1:1" s="1" customFormat="1" x14ac:dyDescent="0.3">
      <c r="A510" s="22"/>
    </row>
    <row r="511" spans="1:1" s="1" customFormat="1" x14ac:dyDescent="0.3">
      <c r="A511" s="22"/>
    </row>
    <row r="512" spans="1:1" s="1" customFormat="1" x14ac:dyDescent="0.3">
      <c r="A512" s="22"/>
    </row>
    <row r="513" spans="1:1" s="1" customFormat="1" x14ac:dyDescent="0.3">
      <c r="A513" s="22"/>
    </row>
    <row r="514" spans="1:1" s="1" customFormat="1" x14ac:dyDescent="0.3">
      <c r="A514" s="22"/>
    </row>
    <row r="515" spans="1:1" s="1" customFormat="1" x14ac:dyDescent="0.3">
      <c r="A515" s="22"/>
    </row>
    <row r="516" spans="1:1" s="1" customFormat="1" x14ac:dyDescent="0.3">
      <c r="A516" s="22"/>
    </row>
    <row r="517" spans="1:1" s="1" customFormat="1" x14ac:dyDescent="0.3">
      <c r="A517" s="22"/>
    </row>
    <row r="518" spans="1:1" s="1" customFormat="1" x14ac:dyDescent="0.3">
      <c r="A518" s="22"/>
    </row>
    <row r="519" spans="1:1" s="1" customFormat="1" x14ac:dyDescent="0.3">
      <c r="A519" s="22"/>
    </row>
    <row r="520" spans="1:1" s="1" customFormat="1" x14ac:dyDescent="0.3">
      <c r="A520" s="22"/>
    </row>
    <row r="521" spans="1:1" s="1" customFormat="1" x14ac:dyDescent="0.3">
      <c r="A521" s="22"/>
    </row>
    <row r="522" spans="1:1" s="1" customFormat="1" x14ac:dyDescent="0.3">
      <c r="A522" s="22"/>
    </row>
    <row r="523" spans="1:1" s="1" customFormat="1" x14ac:dyDescent="0.3">
      <c r="A523" s="22"/>
    </row>
    <row r="524" spans="1:1" s="1" customFormat="1" x14ac:dyDescent="0.3">
      <c r="A524" s="22"/>
    </row>
    <row r="525" spans="1:1" s="1" customFormat="1" x14ac:dyDescent="0.3">
      <c r="A525" s="22"/>
    </row>
    <row r="526" spans="1:1" s="1" customFormat="1" x14ac:dyDescent="0.3">
      <c r="A526" s="22"/>
    </row>
    <row r="527" spans="1:1" s="1" customFormat="1" x14ac:dyDescent="0.3">
      <c r="A527" s="22"/>
    </row>
    <row r="528" spans="1:1" s="1" customFormat="1" x14ac:dyDescent="0.3">
      <c r="A528" s="22"/>
    </row>
    <row r="529" spans="1:1" s="1" customFormat="1" x14ac:dyDescent="0.3">
      <c r="A529" s="22"/>
    </row>
    <row r="530" spans="1:1" s="1" customFormat="1" x14ac:dyDescent="0.3">
      <c r="A530" s="22"/>
    </row>
    <row r="531" spans="1:1" s="1" customFormat="1" x14ac:dyDescent="0.3">
      <c r="A531" s="22"/>
    </row>
    <row r="532" spans="1:1" s="1" customFormat="1" x14ac:dyDescent="0.3">
      <c r="A532" s="22"/>
    </row>
    <row r="533" spans="1:1" s="1" customFormat="1" x14ac:dyDescent="0.3">
      <c r="A533" s="22"/>
    </row>
    <row r="534" spans="1:1" s="1" customFormat="1" x14ac:dyDescent="0.3">
      <c r="A534" s="22"/>
    </row>
    <row r="535" spans="1:1" s="1" customFormat="1" x14ac:dyDescent="0.3">
      <c r="A535" s="22"/>
    </row>
    <row r="536" spans="1:1" s="1" customFormat="1" x14ac:dyDescent="0.3">
      <c r="A536" s="22"/>
    </row>
    <row r="537" spans="1:1" s="1" customFormat="1" x14ac:dyDescent="0.3">
      <c r="A537" s="22"/>
    </row>
    <row r="538" spans="1:1" s="1" customFormat="1" x14ac:dyDescent="0.3">
      <c r="A538" s="22"/>
    </row>
    <row r="539" spans="1:1" s="1" customFormat="1" x14ac:dyDescent="0.3">
      <c r="A539" s="22"/>
    </row>
    <row r="540" spans="1:1" s="1" customFormat="1" x14ac:dyDescent="0.3">
      <c r="A540" s="22"/>
    </row>
    <row r="541" spans="1:1" s="1" customFormat="1" x14ac:dyDescent="0.3">
      <c r="A541" s="22"/>
    </row>
    <row r="542" spans="1:1" s="1" customFormat="1" x14ac:dyDescent="0.3">
      <c r="A542" s="22"/>
    </row>
    <row r="543" spans="1:1" s="1" customFormat="1" x14ac:dyDescent="0.3">
      <c r="A543" s="22"/>
    </row>
    <row r="544" spans="1:1" s="1" customFormat="1" x14ac:dyDescent="0.3">
      <c r="A544" s="22"/>
    </row>
    <row r="545" spans="1:1" s="1" customFormat="1" x14ac:dyDescent="0.3">
      <c r="A545" s="22"/>
    </row>
    <row r="546" spans="1:1" s="1" customFormat="1" x14ac:dyDescent="0.3">
      <c r="A546" s="22"/>
    </row>
    <row r="547" spans="1:1" s="1" customFormat="1" x14ac:dyDescent="0.3">
      <c r="A547" s="22"/>
    </row>
    <row r="548" spans="1:1" s="1" customFormat="1" x14ac:dyDescent="0.3">
      <c r="A548" s="22"/>
    </row>
    <row r="549" spans="1:1" s="1" customFormat="1" x14ac:dyDescent="0.3">
      <c r="A549" s="22"/>
    </row>
    <row r="550" spans="1:1" s="1" customFormat="1" x14ac:dyDescent="0.3">
      <c r="A550" s="22"/>
    </row>
    <row r="551" spans="1:1" s="1" customFormat="1" x14ac:dyDescent="0.3">
      <c r="A551" s="22"/>
    </row>
    <row r="552" spans="1:1" s="1" customFormat="1" x14ac:dyDescent="0.3">
      <c r="A552" s="22"/>
    </row>
    <row r="553" spans="1:1" s="1" customFormat="1" x14ac:dyDescent="0.3">
      <c r="A553" s="22"/>
    </row>
    <row r="554" spans="1:1" s="1" customFormat="1" x14ac:dyDescent="0.3">
      <c r="A554" s="22"/>
    </row>
    <row r="555" spans="1:1" s="1" customFormat="1" x14ac:dyDescent="0.3">
      <c r="A555" s="22"/>
    </row>
    <row r="556" spans="1:1" s="1" customFormat="1" x14ac:dyDescent="0.3">
      <c r="A556" s="22"/>
    </row>
    <row r="557" spans="1:1" s="1" customFormat="1" x14ac:dyDescent="0.3">
      <c r="A557" s="22"/>
    </row>
    <row r="558" spans="1:1" s="1" customFormat="1" x14ac:dyDescent="0.3">
      <c r="A558" s="22"/>
    </row>
    <row r="559" spans="1:1" s="1" customFormat="1" x14ac:dyDescent="0.3">
      <c r="A559" s="22"/>
    </row>
    <row r="560" spans="1:1" s="1" customFormat="1" x14ac:dyDescent="0.3">
      <c r="A560" s="22"/>
    </row>
    <row r="561" spans="1:1" s="1" customFormat="1" x14ac:dyDescent="0.3">
      <c r="A561" s="22"/>
    </row>
    <row r="562" spans="1:1" s="1" customFormat="1" x14ac:dyDescent="0.3">
      <c r="A562" s="22"/>
    </row>
    <row r="563" spans="1:1" s="1" customFormat="1" x14ac:dyDescent="0.3">
      <c r="A563" s="22"/>
    </row>
    <row r="564" spans="1:1" s="1" customFormat="1" x14ac:dyDescent="0.3">
      <c r="A564" s="22"/>
    </row>
    <row r="565" spans="1:1" s="1" customFormat="1" x14ac:dyDescent="0.3">
      <c r="A565" s="22"/>
    </row>
    <row r="566" spans="1:1" s="1" customFormat="1" x14ac:dyDescent="0.3">
      <c r="A566" s="22"/>
    </row>
    <row r="567" spans="1:1" s="1" customFormat="1" x14ac:dyDescent="0.3">
      <c r="A567" s="22"/>
    </row>
    <row r="568" spans="1:1" s="1" customFormat="1" x14ac:dyDescent="0.3">
      <c r="A568" s="22"/>
    </row>
    <row r="569" spans="1:1" s="1" customFormat="1" x14ac:dyDescent="0.3">
      <c r="A569" s="22"/>
    </row>
    <row r="570" spans="1:1" s="1" customFormat="1" x14ac:dyDescent="0.3">
      <c r="A570" s="22"/>
    </row>
    <row r="571" spans="1:1" s="1" customFormat="1" x14ac:dyDescent="0.3">
      <c r="A571" s="22"/>
    </row>
    <row r="572" spans="1:1" s="1" customFormat="1" x14ac:dyDescent="0.3">
      <c r="A572" s="22"/>
    </row>
    <row r="573" spans="1:1" s="1" customFormat="1" x14ac:dyDescent="0.3">
      <c r="A573" s="22"/>
    </row>
    <row r="574" spans="1:1" s="1" customFormat="1" x14ac:dyDescent="0.3">
      <c r="A574" s="22"/>
    </row>
    <row r="575" spans="1:1" s="1" customFormat="1" x14ac:dyDescent="0.3">
      <c r="A575" s="22"/>
    </row>
    <row r="576" spans="1:1" s="1" customFormat="1" x14ac:dyDescent="0.3">
      <c r="A576" s="22"/>
    </row>
    <row r="577" spans="1:1" s="1" customFormat="1" x14ac:dyDescent="0.3">
      <c r="A577" s="22"/>
    </row>
    <row r="578" spans="1:1" s="1" customFormat="1" x14ac:dyDescent="0.3">
      <c r="A578" s="22"/>
    </row>
    <row r="579" spans="1:1" s="1" customFormat="1" x14ac:dyDescent="0.3">
      <c r="A579" s="22"/>
    </row>
    <row r="580" spans="1:1" s="1" customFormat="1" x14ac:dyDescent="0.3">
      <c r="A580" s="22"/>
    </row>
    <row r="581" spans="1:1" s="1" customFormat="1" x14ac:dyDescent="0.3">
      <c r="A581" s="22"/>
    </row>
    <row r="582" spans="1:1" s="1" customFormat="1" x14ac:dyDescent="0.3">
      <c r="A582" s="22"/>
    </row>
    <row r="583" spans="1:1" s="1" customFormat="1" x14ac:dyDescent="0.3">
      <c r="A583" s="22"/>
    </row>
    <row r="584" spans="1:1" s="1" customFormat="1" x14ac:dyDescent="0.3">
      <c r="A584" s="22"/>
    </row>
    <row r="585" spans="1:1" s="1" customFormat="1" x14ac:dyDescent="0.3">
      <c r="A585" s="22"/>
    </row>
    <row r="586" spans="1:1" s="1" customFormat="1" x14ac:dyDescent="0.3">
      <c r="A586" s="22"/>
    </row>
    <row r="587" spans="1:1" s="1" customFormat="1" x14ac:dyDescent="0.3">
      <c r="A587" s="22"/>
    </row>
    <row r="588" spans="1:1" s="1" customFormat="1" x14ac:dyDescent="0.3">
      <c r="A588" s="22"/>
    </row>
    <row r="589" spans="1:1" s="1" customFormat="1" x14ac:dyDescent="0.3">
      <c r="A589" s="22"/>
    </row>
    <row r="590" spans="1:1" s="1" customFormat="1" x14ac:dyDescent="0.3">
      <c r="A590" s="22"/>
    </row>
    <row r="591" spans="1:1" s="1" customFormat="1" x14ac:dyDescent="0.3">
      <c r="A591" s="22"/>
    </row>
    <row r="592" spans="1:1" s="1" customFormat="1" x14ac:dyDescent="0.3">
      <c r="A592" s="22"/>
    </row>
    <row r="593" spans="1:1" s="1" customFormat="1" x14ac:dyDescent="0.3">
      <c r="A593" s="22"/>
    </row>
    <row r="594" spans="1:1" s="1" customFormat="1" x14ac:dyDescent="0.3">
      <c r="A594" s="22"/>
    </row>
    <row r="595" spans="1:1" s="1" customFormat="1" x14ac:dyDescent="0.3">
      <c r="A595" s="22"/>
    </row>
    <row r="596" spans="1:1" s="1" customFormat="1" x14ac:dyDescent="0.3">
      <c r="A596" s="22"/>
    </row>
    <row r="597" spans="1:1" s="1" customFormat="1" x14ac:dyDescent="0.3">
      <c r="A597" s="22"/>
    </row>
    <row r="598" spans="1:1" s="1" customFormat="1" x14ac:dyDescent="0.3">
      <c r="A598" s="22"/>
    </row>
    <row r="599" spans="1:1" s="1" customFormat="1" x14ac:dyDescent="0.3">
      <c r="A599" s="22"/>
    </row>
    <row r="600" spans="1:1" s="1" customFormat="1" x14ac:dyDescent="0.3">
      <c r="A600" s="22"/>
    </row>
    <row r="601" spans="1:1" s="1" customFormat="1" x14ac:dyDescent="0.3">
      <c r="A601" s="22"/>
    </row>
  </sheetData>
  <mergeCells count="38">
    <mergeCell ref="A203:A204"/>
    <mergeCell ref="F302:I302"/>
    <mergeCell ref="C308:C309"/>
    <mergeCell ref="D209:L209"/>
    <mergeCell ref="G215:H215"/>
    <mergeCell ref="F171:I171"/>
    <mergeCell ref="C190:C191"/>
    <mergeCell ref="B203:B204"/>
    <mergeCell ref="E2:M2"/>
    <mergeCell ref="F147:I147"/>
    <mergeCell ref="F148:I148"/>
    <mergeCell ref="F149:I149"/>
    <mergeCell ref="F150:I150"/>
    <mergeCell ref="D34:L34"/>
    <mergeCell ref="C86:C87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B164:B165"/>
    <mergeCell ref="C164:C165"/>
    <mergeCell ref="F164:I164"/>
    <mergeCell ref="F165:I165"/>
    <mergeCell ref="C166:C167"/>
    <mergeCell ref="F166:I166"/>
    <mergeCell ref="F167:I167"/>
    <mergeCell ref="C168:C169"/>
    <mergeCell ref="F168:I168"/>
    <mergeCell ref="F169:I169"/>
  </mergeCells>
  <phoneticPr fontId="9" type="noConversion"/>
  <printOptions horizontalCentered="1"/>
  <pageMargins left="0" right="0" top="0.5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Entitlement-NTTML&amp;TFL&amp;ZZAL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Hossein</dc:creator>
  <cp:lastModifiedBy>Atikur Rahman</cp:lastModifiedBy>
  <cp:lastPrinted>2025-11-10T09:02:57Z</cp:lastPrinted>
  <dcterms:created xsi:type="dcterms:W3CDTF">2025-02-16T07:14:38Z</dcterms:created>
  <dcterms:modified xsi:type="dcterms:W3CDTF">2026-09-07T10:45:44Z</dcterms:modified>
</cp:coreProperties>
</file>