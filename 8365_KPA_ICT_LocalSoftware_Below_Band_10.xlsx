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4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5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D302D569-ABBA-4939-B1FA-0E1964F81836}" xr6:coauthVersionLast="47" xr6:coauthVersionMax="47" xr10:uidLastSave="{00000000-0000-0000-0000-000000000000}"/>
  <bookViews>
    <workbookView xWindow="-108" yWindow="-108" windowWidth="23256" windowHeight="12456" tabRatio="770" activeTab="2" xr2:uid="{00000000-000D-0000-FFFF-FFFF00000000}"/>
  </bookViews>
  <sheets>
    <sheet name="Top Sheet" sheetId="5" r:id="rId1"/>
    <sheet name="Part A - HOD (50%)" sheetId="2" r:id="rId2"/>
    <sheet name="Part B - HR (30%)" sheetId="3" r:id="rId3"/>
    <sheet name="Part C - Audit (20%)" sheetId="4" r:id="rId4"/>
    <sheet name="Part A - HOD (50%) (2)" sheetId="6" state="hidden" r:id="rId5"/>
  </sheets>
  <definedNames>
    <definedName name="_xlnm.Print_Area" localSheetId="1">'Part A - HOD (50%)'!$A$1:$H$36</definedName>
    <definedName name="_xlnm.Print_Area" localSheetId="4">'Part A - HOD (50%) (2)'!$A$1:$H$34</definedName>
    <definedName name="_xlnm.Print_Area" localSheetId="0">'Top Sheet'!$A$1:$E$42</definedName>
    <definedName name="_xlnm.Print_Titles" localSheetId="1">'Part A - HOD (50%)'!$1:$4</definedName>
    <definedName name="_xlnm.Print_Titles" localSheetId="4">'Part A - HOD (50%) (2)'!$1:$4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8" i="2"/>
  <c r="H8" i="2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D24" i="2"/>
  <c r="F22" i="6"/>
  <c r="D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4" i="6"/>
  <c r="B4" i="6"/>
  <c r="H3" i="6"/>
  <c r="F3" i="6"/>
  <c r="B3" i="6"/>
  <c r="H2" i="6"/>
  <c r="F2" i="6"/>
  <c r="B2" i="6"/>
  <c r="D14" i="5"/>
  <c r="F4" i="3" s="1"/>
  <c r="F17" i="4"/>
  <c r="F17" i="3"/>
  <c r="H3" i="4"/>
  <c r="H2" i="4"/>
  <c r="F3" i="4"/>
  <c r="F2" i="4"/>
  <c r="B4" i="4"/>
  <c r="B3" i="4"/>
  <c r="B2" i="4"/>
  <c r="B4" i="3"/>
  <c r="H3" i="3"/>
  <c r="H2" i="3"/>
  <c r="F3" i="3"/>
  <c r="F2" i="3"/>
  <c r="B3" i="3"/>
  <c r="B2" i="3"/>
  <c r="H3" i="2"/>
  <c r="H2" i="2"/>
  <c r="F3" i="2"/>
  <c r="F2" i="2"/>
  <c r="B4" i="2"/>
  <c r="B3" i="2"/>
  <c r="B2" i="2"/>
  <c r="E28" i="5"/>
  <c r="F24" i="2"/>
  <c r="H4" i="4"/>
  <c r="H4" i="3"/>
  <c r="H4" i="2"/>
  <c r="D17" i="4"/>
  <c r="H8" i="4"/>
  <c r="G8" i="4"/>
  <c r="H7" i="4"/>
  <c r="G7" i="4"/>
  <c r="D17" i="3"/>
  <c r="H8" i="3"/>
  <c r="G8" i="3"/>
  <c r="H7" i="3"/>
  <c r="G7" i="3"/>
  <c r="H7" i="2"/>
  <c r="G7" i="2"/>
  <c r="G22" i="6" l="1"/>
  <c r="G23" i="6" s="1"/>
  <c r="H23" i="6" s="1"/>
  <c r="F4" i="6"/>
  <c r="F4" i="2"/>
  <c r="F4" i="4"/>
  <c r="G17" i="4"/>
  <c r="G18" i="4" s="1"/>
  <c r="G17" i="3"/>
  <c r="G18" i="3" s="1"/>
  <c r="G24" i="2"/>
  <c r="H18" i="4" l="1"/>
  <c r="C20" i="5"/>
  <c r="D20" i="5" s="1"/>
  <c r="H18" i="3"/>
  <c r="C19" i="5"/>
  <c r="D19" i="5" s="1"/>
  <c r="G25" i="2"/>
  <c r="H25" i="2" l="1"/>
  <c r="C18" i="5"/>
  <c r="D18" i="5" s="1"/>
  <c r="D21" i="5" s="1"/>
  <c r="C21" i="5" s="1"/>
  <c r="B24" i="5" l="1"/>
</calcChain>
</file>

<file path=xl/sharedStrings.xml><?xml version="1.0" encoding="utf-8"?>
<sst xmlns="http://schemas.openxmlformats.org/spreadsheetml/2006/main" count="298" uniqueCount="211">
  <si>
    <t>Weight</t>
  </si>
  <si>
    <t>Weighted Score</t>
  </si>
  <si>
    <t>TOTAL</t>
  </si>
  <si>
    <t>Rating Scale:  5 = Excellent   |   4 = Very Good   |   3 = Good   |   2 = Needs Improvement   |   1 = Poor   |   Max Score = 5</t>
  </si>
  <si>
    <t>Sl.</t>
  </si>
  <si>
    <t>Key Performance Area / Competency Area</t>
  </si>
  <si>
    <t>Score (1–5)</t>
  </si>
  <si>
    <t>Remarks</t>
  </si>
  <si>
    <t>HOD Block Score (out of 100):</t>
  </si>
  <si>
    <t>HOD Comments (if any) and Signature with Seal and Date:</t>
  </si>
  <si>
    <t>Adherence to HR Policies, Code of Conduct &amp; Company Rules</t>
  </si>
  <si>
    <t>Honesty, Integrity &amp; Ethical Conduct</t>
  </si>
  <si>
    <t>HR Block Score (out of 100):</t>
  </si>
  <si>
    <t>HR Comments (if any) and Signature with Seal and Date:</t>
  </si>
  <si>
    <t>Audit Block Score (out of 100):</t>
  </si>
  <si>
    <t>Audit Comments (if any) and Signature with Seal and Date:</t>
  </si>
  <si>
    <t>Assessment Focus</t>
  </si>
  <si>
    <t>Employee:</t>
  </si>
  <si>
    <t>Designation:</t>
  </si>
  <si>
    <t>Grade:</t>
  </si>
  <si>
    <t>Appraisal Period:</t>
  </si>
  <si>
    <t>Employee ID:</t>
  </si>
  <si>
    <t xml:space="preserve">Date of Joining: </t>
  </si>
  <si>
    <t>Current Gross Salary:</t>
  </si>
  <si>
    <t>Service Length:</t>
  </si>
  <si>
    <t>Recommended Actions:</t>
  </si>
  <si>
    <t xml:space="preserve">Promotion to  </t>
  </si>
  <si>
    <t>Increment of BDT</t>
  </si>
  <si>
    <t>No Increment + PIP</t>
  </si>
  <si>
    <t>PIP / Role Review / Disciplinary Action</t>
  </si>
  <si>
    <t>Date of Joining:</t>
  </si>
  <si>
    <t>Gross after P. Incr.:</t>
  </si>
  <si>
    <t xml:space="preserve">TALHA GROUP
</t>
  </si>
  <si>
    <t>Corporate Headquarter: Anabil Tower (12th &amp; 13th Floor), Plot # 3, Block NW(J), Kamal Ataturk Avenue, Gulshan-2, Dhaka-1212.
Corporate Head Office: Grand Delvistaa, Level-7, House - CES(A) 1/A, Road-113, Gulshan Avenue, Gulshan-2, Dhaka-1212.</t>
  </si>
  <si>
    <t>Employee Name:</t>
  </si>
  <si>
    <t>Grade / Band:</t>
  </si>
  <si>
    <t>Appraisal Type:</t>
  </si>
  <si>
    <t>Assessment Period:</t>
  </si>
  <si>
    <t>Overall Structure: HOD 50% + HR 30% + Internal Audit 20%</t>
  </si>
  <si>
    <t>Cut-off Date:</t>
  </si>
  <si>
    <t>2025-2026</t>
  </si>
  <si>
    <t>Employee Appraisal Summary</t>
  </si>
  <si>
    <t>Department Name:</t>
  </si>
  <si>
    <t>Employee Position:</t>
  </si>
  <si>
    <t>Yearly</t>
  </si>
  <si>
    <t>Evaluator</t>
  </si>
  <si>
    <t>HOD</t>
  </si>
  <si>
    <t>HR</t>
  </si>
  <si>
    <t>Internal Audit</t>
  </si>
  <si>
    <t>Total</t>
  </si>
  <si>
    <t>Rating</t>
  </si>
  <si>
    <t>Recommended Management Actions</t>
  </si>
  <si>
    <t>Promotion to</t>
  </si>
  <si>
    <t>Training and development plan</t>
  </si>
  <si>
    <t>No increment + PIP</t>
  </si>
  <si>
    <t>Role review / disciplinary action</t>
  </si>
  <si>
    <t>Gross after Inc.</t>
  </si>
  <si>
    <t>Grade/Band:</t>
  </si>
  <si>
    <t>Authorized Signatures (HR and Final Approval Authority)</t>
  </si>
  <si>
    <t>Overall Rating based on Weighted Score</t>
  </si>
  <si>
    <t>Score
(Out of 100)</t>
  </si>
  <si>
    <t>Band 10</t>
  </si>
  <si>
    <t>Process Improvement, Automation &amp; Productivity Initiatives</t>
  </si>
  <si>
    <t>Accountability, Decision Making &amp; Pressure Handling</t>
  </si>
  <si>
    <t>Improves bond processes, reporting flow, CBMS usage and workflow efficiency through practical automation and productivity initiatives.</t>
  </si>
  <si>
    <t>Maintains honesty, confidentiality and ethical conduct while handling regulatory records, bond documents, official communication and sensitive information.</t>
  </si>
  <si>
    <t>Shows ownership, sound judgment and professional decision-making while handling urgent regulatory, audit and operational pressure.</t>
  </si>
  <si>
    <t>PART A — PERFORMANCE ASSESSMENT BY HOD  |  Functional &amp; Leadership Evaluation – 50%   |  Position – Lead &amp; Above</t>
  </si>
  <si>
    <t>Attendance, Punctuality, Leave Discipline &amp; Office Discipline</t>
  </si>
  <si>
    <t>Maintains regular attendance, punctuality, leave discipline, reporting discipline and sets a positive example for team members.</t>
  </si>
  <si>
    <t>Follows HR policies, company rules, code of conduct, employment terms and workplace standards consistently.</t>
  </si>
  <si>
    <t>Export Commercial</t>
  </si>
  <si>
    <t>Export Operation Supervision &amp; Departmental Execution</t>
  </si>
  <si>
    <t>Final Bank Document Submission as per L/C</t>
  </si>
  <si>
    <t>FCR, B/L and Original Document Collection / Endorsement</t>
  </si>
  <si>
    <t>H&amp;M / IKEA / Buyer-Specific Documentation &amp; Online Portal Work</t>
  </si>
  <si>
    <t>Shipping Line, Forwarder, C&amp;F and Loading Advice Coordination</t>
  </si>
  <si>
    <t>Shipment, Vessel and Container Movement Monitoring</t>
  </si>
  <si>
    <t>Buyer, Bank, Marketing, Factory and Liaison Communication</t>
  </si>
  <si>
    <t>Back-to-Back L/C Opening &amp; Documentation Control</t>
  </si>
  <si>
    <t>Export Statement, MIS, Database and Document Tracking</t>
  </si>
  <si>
    <t>Ocean Freight Voucher, Charges Adjustment and Audit Support</t>
  </si>
  <si>
    <t>Supervises export commercial activities regularly and efficiently from shipment/export operation up to document submission, ETA/destination follow-up and final payment coordination.</t>
  </si>
  <si>
    <t>Ensures timely and accurate final export/bank document submission according to L/C, buyer and bank requirements; monitors pending submissions and discrepancy correction.</t>
  </si>
  <si>
    <t>Arranges preparation, collection, endorsement and submission of FCR, B/L, original BL and related documents from bank, shipping line, forwarder and other offices.</t>
  </si>
  <si>
    <t>Handles H&amp;M/IKEA documentation, H&amp;M FCR, DAMCO/DEMCO portal upload, loading advice, buyer-specific document requirements and portal monitoring.</t>
  </si>
  <si>
    <t>Collects shipment/loading advice from shipping line/forwarder; coordinates with nominated forwarders, C&amp;F agents at Dhaka/Chattogram and marketing department.</t>
  </si>
  <si>
    <t>Monitors feeder/mother vessel sailing, ETA at destination, container movement, cargo release status and destination-wise delivery confirmation certificate preparation.</t>
  </si>
  <si>
    <t>Maintains active communication by email/phone with buyers, banks, buying house/liaison office, marketing, factory operation, C&amp;F and other stakeholders.</t>
  </si>
  <si>
    <t>Opens local/foreign Back-to-Back L/Cs, prepares/submits yarn and fabrics documents, follows bank-related works, Mushok/Delivery Challan, BTMA certificate and LC documentation statements.</t>
  </si>
  <si>
    <t>Updates export document statements, BL/FCR status, invoice folder/network records, export database/storage and department-level reports for management follow-up.</t>
  </si>
  <si>
    <t>Checks ocean freight vouchers, adjusts freight charges with audit department and supports payment/document-related reconciliation.</t>
  </si>
  <si>
    <t>Team Leadership, Work Distribution and Supervision</t>
  </si>
  <si>
    <t>Leads/supervises team members, monitors delegated work, guides problem-solving and ensures timely completion of export commercial responsibilities.</t>
  </si>
  <si>
    <t>Problem Solving, Decision Making and Emergency Support</t>
  </si>
  <si>
    <t>Handles document issues, vessel/cargo release matters, overdue/duplication problems and urgent official requirements with ownership and maturity.</t>
  </si>
  <si>
    <t>Integrity, Confidentiality &amp; Ethical Handling of Export Matters</t>
  </si>
  <si>
    <t>out</t>
  </si>
  <si>
    <t>Compliance with HR Processes &amp; Documentation</t>
  </si>
  <si>
    <t>Timely Response to Audit Queries &amp; Cooperation</t>
  </si>
  <si>
    <t>Integrity, Transparency &amp; Compliance Mindset</t>
  </si>
  <si>
    <t>Department Name</t>
  </si>
  <si>
    <t>Corporate Accounts</t>
  </si>
  <si>
    <t>Band 1</t>
  </si>
  <si>
    <t>Factory Accounts</t>
  </si>
  <si>
    <t>Band 2</t>
  </si>
  <si>
    <t>Corporate Accounts (Vat and Tax)</t>
  </si>
  <si>
    <t>Band 3</t>
  </si>
  <si>
    <t>Corporate Finance</t>
  </si>
  <si>
    <t>Band 4</t>
  </si>
  <si>
    <t>Cash and Treasury</t>
  </si>
  <si>
    <t>Band 5</t>
  </si>
  <si>
    <t>Export Commercial (Bond and Customs)</t>
  </si>
  <si>
    <t>Band 6</t>
  </si>
  <si>
    <t>Band 7</t>
  </si>
  <si>
    <t>Import Commercial (LC Operations and Settlements)</t>
  </si>
  <si>
    <t>Band 8</t>
  </si>
  <si>
    <t>Import Commercial (C&amp;F and Logistic Communication)</t>
  </si>
  <si>
    <t>Band 9</t>
  </si>
  <si>
    <t>Regulatory Affairs and Compliance</t>
  </si>
  <si>
    <t>Local Sourcing and Procurement</t>
  </si>
  <si>
    <t>Band 11</t>
  </si>
  <si>
    <t>Global Sourcing and Procurement</t>
  </si>
  <si>
    <t>Band 12</t>
  </si>
  <si>
    <t>Textile Marketing &amp; Development</t>
  </si>
  <si>
    <t>Band 13</t>
  </si>
  <si>
    <t>Corporate HR and Admin</t>
  </si>
  <si>
    <t>Band 14</t>
  </si>
  <si>
    <t>ICT (Operation)</t>
  </si>
  <si>
    <t>Band 15</t>
  </si>
  <si>
    <t>ICT (Local Software)</t>
  </si>
  <si>
    <t>Band 16</t>
  </si>
  <si>
    <t>ICT (ERP)</t>
  </si>
  <si>
    <t>Band 17</t>
  </si>
  <si>
    <t>Warp Knit Marketing</t>
  </si>
  <si>
    <t>Band 18</t>
  </si>
  <si>
    <t>Costing and Pricing</t>
  </si>
  <si>
    <t>Band 19</t>
  </si>
  <si>
    <t>Local Sales (wastage, Leftover and Others)</t>
  </si>
  <si>
    <t>Band 20</t>
  </si>
  <si>
    <t>Accessories Marketing</t>
  </si>
  <si>
    <t>Band 21</t>
  </si>
  <si>
    <t>Maintains honesty, confidentiality and ethical conduct while handling regulatory records, documents, official communication and sensitive information.</t>
  </si>
  <si>
    <t>PART A — PERFORMANCE ASSESSMENT BY HOD  |  Functional &amp; Leadership Evaluation – 50%   |  Position – Below Lead</t>
  </si>
  <si>
    <t>Professional Behavior &amp; Positive Attitude</t>
  </si>
  <si>
    <t>Demonstrates maturity, respect, responsibility, cooperation, and positive workplace behavior.</t>
  </si>
  <si>
    <t>Teamwork &amp; Cooperation</t>
  </si>
  <si>
    <t>Works cooperatively with team members and other departments and supports departmental goals.</t>
  </si>
  <si>
    <t>Communication &amp; Professional Etiquette</t>
  </si>
  <si>
    <t>Communicates clearly, politely, and professionally with supervisors, colleagues, HR, and other departments.</t>
  </si>
  <si>
    <t>Maintains honesty, transparency, ethical behavior, and avoids conflict of interest or misuse of company resources.</t>
  </si>
  <si>
    <t>Confidentiality of Company Information</t>
  </si>
  <si>
    <t>Protects confidential company, regulatory, legal, employee, financial, supplier, customer, and management information.</t>
  </si>
  <si>
    <t>Completes HR-related processes properly, including attendance correction, leave application, appraisal information, and required documents.</t>
  </si>
  <si>
    <t>Learning Attitude, Adaptability &amp; Improvement Mindset</t>
  </si>
  <si>
    <t>Shows willingness to learn, accepts feedback, adapts to new systems/processes, and improves performance.</t>
  </si>
  <si>
    <t>Company Asset Care, Safety &amp; Workplace Cleanliness</t>
  </si>
  <si>
    <t>Uses company assets responsibly and supports workplace safety, security, and cleanliness.</t>
  </si>
  <si>
    <t>PART C — PERFORMANCE ASSESSMENT BY AUDIT  |  Bond Control &amp; Compliance – 20%   |  Position – Below Lead</t>
  </si>
  <si>
    <t>PART B — PERFORMANCE ASSESSMENT BY HR  |  Behavioral, Leadership &amp; Policy Evaluation – 30%   |  Position – Below Lead</t>
  </si>
  <si>
    <t>Improves documentation process, reduces repeated errors, strengthens tracking system, and supports faster workflow.</t>
  </si>
  <si>
    <t>No of Software Develop and Follow-up:</t>
  </si>
  <si>
    <t>Senior and Entry</t>
  </si>
  <si>
    <t>Assigned Software Task Execution</t>
  </si>
  <si>
    <t>User Support, Troubleshooting &amp; Issue Resolution</t>
  </si>
  <si>
    <t>Requirement Collection &amp; Clarification Support</t>
  </si>
  <si>
    <t>Software Development, Customization &amp; Configuration Support</t>
  </si>
  <si>
    <t>Bug Fixing, Testing &amp; UAT Support</t>
  </si>
  <si>
    <t>Report, Query, Dashboard &amp; MIS Support</t>
  </si>
  <si>
    <t>Database, Data Checking &amp; Data Accuracy Support</t>
  </si>
  <si>
    <t>Deployment, Update &amp; Version Support</t>
  </si>
  <si>
    <t>Documentation, User Manual &amp; SOP Support</t>
  </si>
  <si>
    <t>User Training &amp; Communication Support</t>
  </si>
  <si>
    <t>Access Request, Permission &amp; Setup Support</t>
  </si>
  <si>
    <t>Backup, Security &amp; Compliance Support</t>
  </si>
  <si>
    <t>Issue Identification, Reporting &amp; Timely Escalation</t>
  </si>
  <si>
    <t>Team Support, Learning Attitude &amp; Adaptability</t>
  </si>
  <si>
    <t>Completes assigned software support, development, configuration, or data-related tasks accurately and within required timeline.</t>
  </si>
  <si>
    <t>Provides timely support for user problems, software errors, login issues, report issues, and basic troubleshooting.</t>
  </si>
  <si>
    <t>Collects user requirements, clarifies business needs, documents required changes, and informs supervisor properly.</t>
  </si>
  <si>
    <t>Supports coding, customization, configuration, form/report development, and approved software changes as assigned.</t>
  </si>
  <si>
    <t>Supports bug fixing, testing, UAT, user feedback collection, and correction before final deployment.</t>
  </si>
  <si>
    <t>Supports preparation of reports, queries, dashboards, data extracts, and MIS as per user or management requirement.</t>
  </si>
  <si>
    <t>Supports database checking, data validation, correction support, duplicate checking, and data accuracy review.</t>
  </si>
  <si>
    <t>Supports software deployment, patch update, version update, release note, and post-deployment checking.</t>
  </si>
  <si>
    <t>Maintains user manuals, process notes, change records, troubleshooting notes, and software-related documentation.</t>
  </si>
  <si>
    <t>Supports user training, system guidance, issue explanation, and communication with departments in a professional manner.</t>
  </si>
  <si>
    <t>Supports user access setup, permission change, password reset, account creation, and approved access-related activities.</t>
  </si>
  <si>
    <t>Supports backup checking, basic software security, access discipline, and reports security or compliance concerns.</t>
  </si>
  <si>
    <t>Identifies repeated problems, data mismatch, system errors, access issues, or user complaints and escalates on time.</t>
  </si>
  <si>
    <t>Supports team members, learns new tools, accepts feedback, and adapts to new software, systems, or processes.</t>
  </si>
  <si>
    <t>Compliance with Software SOP, ICT Policy &amp; Approval Process</t>
  </si>
  <si>
    <t>Access Request, Approval &amp; Permission Evidence Support</t>
  </si>
  <si>
    <t>Change, Testing &amp; Deployment Documentation Support</t>
  </si>
  <si>
    <t>Data Backup, Security &amp; Control Evidence Support</t>
  </si>
  <si>
    <t>Bug, Ticket, Service Log &amp; Incident Documentation</t>
  </si>
  <si>
    <t>Audit Observation Correction Support</t>
  </si>
  <si>
    <t>System, Data &amp; Report Reliability</t>
  </si>
  <si>
    <t>Unauthorized Access, Data Leakage &amp; Software Misuse Awareness</t>
  </si>
  <si>
    <t>Follows software SOP, ICT policy, access policy, change approval process, and company control requirements.</t>
  </si>
  <si>
    <t>Maintains evidence for access request, permission change, password reset, user account creation, and access removal.</t>
  </si>
  <si>
    <t>Maintains support documents for software change request, testing, UAT, deployment, version update, and release records.</t>
  </si>
  <si>
    <t>Supports backup evidence, data protection, security checking, and control-related documentation.</t>
  </si>
  <si>
    <t>Maintains complete bug reports, support tickets, service logs, incident notes, and resolution evidence.</t>
  </si>
  <si>
    <t>Supports correction of audit observations, provides documents, and helps prevent repeat mistakes in assigned work.</t>
  </si>
  <si>
    <t>Ensures software data, reports, queries, tracking files, and MIS outputs are accurate and reliable.</t>
  </si>
  <si>
    <t>Provides documents, clarification, and cooperation to Internal Audit within required timeline.</t>
  </si>
  <si>
    <t>Remains alert to unauthorized access, data leakage, password sharing, system misuse, or ICT policy violation.</t>
  </si>
  <si>
    <t>Demonstrates honesty, transparency, ethical conduct, and compliance mindset in local software activities.</t>
  </si>
  <si>
    <t>Navid Anjum Shuvro</t>
  </si>
  <si>
    <t>SOFTWARE DEVELOPMENT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</si>
</sst>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d/mmm/yy;@"/>
    <numFmt numFmtId="166" formatCode="0\%"/>
  </numFmts>
  <fonts count="4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sz val="9"/>
      <color rgb="FF444444"/>
      <name val="Arial"/>
      <family val="2"/>
    </font>
    <font>
      <i/>
      <sz val="9"/>
      <color rgb="FF1F3864"/>
      <name val="Arial"/>
      <family val="2"/>
    </font>
    <font>
      <i/>
      <sz val="9"/>
      <color rgb="FF7B4F00"/>
      <name val="Arial"/>
      <family val="2"/>
    </font>
    <font>
      <b/>
      <sz val="11"/>
      <color rgb="FF0070C0"/>
      <name val="Arial"/>
      <family val="2"/>
    </font>
    <font>
      <b/>
      <sz val="12"/>
      <color rgb="FF1F3864"/>
      <name val="Arial"/>
      <family val="2"/>
    </font>
    <font>
      <sz val="10"/>
      <color rgb="FF666666"/>
      <name val="Arial"/>
      <family val="2"/>
    </font>
    <font>
      <b/>
      <sz val="10"/>
      <color rgb="FF1B5E20"/>
      <name val="Arial"/>
      <family val="2"/>
    </font>
    <font>
      <b/>
      <sz val="12"/>
      <color rgb="FF1B5E20"/>
      <name val="Arial"/>
      <family val="2"/>
    </font>
    <font>
      <b/>
      <sz val="10"/>
      <color rgb="FF7B1E00"/>
      <name val="Arial"/>
      <family val="2"/>
    </font>
    <font>
      <b/>
      <sz val="12"/>
      <color rgb="FF7B1E00"/>
      <name val="Arial"/>
      <family val="2"/>
    </font>
    <font>
      <sz val="11"/>
      <color theme="1"/>
      <name val="Calibri"/>
      <family val="2"/>
      <charset val="1"/>
    </font>
    <font>
      <sz val="10"/>
      <color rgb="FFFFFFFF"/>
      <name val="Arial"/>
      <family val="2"/>
    </font>
    <font>
      <sz val="11"/>
      <color rgb="FFFFFFFF"/>
      <name val="Arial"/>
      <family val="2"/>
    </font>
    <font>
      <i/>
      <sz val="9"/>
      <color rgb="FF1F3864"/>
      <name val="Arial"/>
      <family val="2"/>
    </font>
    <font>
      <sz val="11"/>
      <color theme="1"/>
      <name val="Cambria"/>
      <family val="1"/>
    </font>
    <font>
      <sz val="9"/>
      <color rgb="FF444444"/>
      <name val="Arial"/>
      <family val="2"/>
    </font>
    <font>
      <sz val="11"/>
      <color rgb="FF444444"/>
      <name val="Arial"/>
      <family val="2"/>
    </font>
    <font>
      <b/>
      <sz val="11"/>
      <color rgb="FF444444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b/>
      <u/>
      <sz val="10"/>
      <color rgb="FF66666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9"/>
      <color rgb="FF1F3864"/>
      <name val="Arial"/>
      <family val="2"/>
    </font>
    <font>
      <sz val="11"/>
      <color theme="1"/>
      <name val="Arial"/>
      <family val="2"/>
    </font>
    <font>
      <b/>
      <sz val="11"/>
      <color rgb="FF1F4E79"/>
      <name val="Arial"/>
      <family val="2"/>
    </font>
    <font>
      <b/>
      <sz val="11"/>
      <color rgb="FF000000"/>
      <name val="Arial"/>
      <family val="2"/>
    </font>
    <font>
      <b/>
      <sz val="12"/>
      <color theme="0"/>
      <name val="Arial"/>
      <family val="2"/>
    </font>
    <font>
      <b/>
      <sz val="24"/>
      <color theme="1"/>
      <name val="Arial"/>
      <family val="2"/>
    </font>
    <font>
      <sz val="9"/>
      <color theme="1"/>
      <name val="Arial"/>
      <family val="2"/>
    </font>
    <font>
      <b/>
      <u/>
      <sz val="10"/>
      <color rgb="FF1F4E79"/>
      <name val="Arial"/>
      <family val="2"/>
    </font>
    <font>
      <b/>
      <sz val="16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EBF5FB"/>
        <bgColor rgb="FFEBF4FD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9F9F9"/>
      </patternFill>
    </fill>
    <fill>
      <patternFill patternType="solid">
        <fgColor rgb="FFFFF9E6"/>
        <bgColor rgb="FFF9F9F9"/>
      </patternFill>
    </fill>
    <fill>
      <patternFill patternType="solid">
        <fgColor rgb="FFF3F7FC"/>
        <bgColor rgb="FFF0F5FB"/>
      </patternFill>
    </fill>
    <fill>
      <patternFill patternType="solid">
        <fgColor rgb="FFEBF4FD"/>
        <bgColor rgb="FFEBF5FB"/>
      </patternFill>
    </fill>
    <fill>
      <patternFill patternType="solid">
        <fgColor rgb="FFF9F9F9"/>
        <bgColor rgb="FFFAFAFA"/>
      </patternFill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7B1E00"/>
        <bgColor rgb="FF8B2500"/>
      </patternFill>
    </fill>
    <fill>
      <patternFill patternType="solid">
        <fgColor rgb="FF8B2500"/>
        <bgColor rgb="FF7B1E00"/>
      </patternFill>
    </fill>
    <fill>
      <patternFill patternType="solid">
        <fgColor theme="5" tint="-0.499984740745262"/>
        <bgColor rgb="FFFAFAFA"/>
      </patternFill>
    </fill>
    <fill>
      <patternFill patternType="solid">
        <fgColor theme="3"/>
        <bgColor rgb="FFFAFAFA"/>
      </patternFill>
    </fill>
    <fill>
      <patternFill patternType="solid">
        <fgColor theme="6" tint="0.59999389629810485"/>
        <bgColor rgb="FFFAFAFA"/>
      </patternFill>
    </fill>
    <fill>
      <patternFill patternType="solid">
        <fgColor rgb="FF92D050"/>
        <bgColor rgb="FFFAFAFA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BFBFBF"/>
      </patternFill>
    </fill>
    <fill>
      <patternFill patternType="solid">
        <fgColor rgb="FFD9EAD3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</patternFill>
    </fill>
  </fills>
  <borders count="28">
    <border>
      <left/>
      <right/>
      <top/>
      <bottom/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/>
      <top style="medium">
        <color rgb="FF666666"/>
      </top>
      <bottom style="thin">
        <color rgb="FFCCCCCC"/>
      </bottom>
      <diagonal/>
    </border>
    <border>
      <left/>
      <right style="medium">
        <color rgb="FF666666"/>
      </right>
      <top style="medium">
        <color rgb="FF666666"/>
      </top>
      <bottom style="thin">
        <color rgb="FFCC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thin">
        <color rgb="FFCCCCCC"/>
      </top>
      <bottom/>
      <diagonal/>
    </border>
    <border>
      <left style="thin">
        <color rgb="FF808080"/>
      </left>
      <right/>
      <top style="thin">
        <color rgb="FFCCCCCC"/>
      </top>
      <bottom style="thin">
        <color rgb="FF808080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808080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CCCCCC"/>
      </left>
      <right/>
      <top style="thin">
        <color rgb="FFCCCCCC"/>
      </top>
      <bottom style="medium">
        <color rgb="FF666666"/>
      </bottom>
      <diagonal/>
    </border>
    <border>
      <left/>
      <right style="thin">
        <color rgb="FFCCCCCC"/>
      </right>
      <top style="thin">
        <color rgb="FFCCCCCC"/>
      </top>
      <bottom style="medium">
        <color rgb="FF666666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76">
    <xf numFmtId="0" fontId="0" fillId="0" borderId="0" xfId="0"/>
    <xf numFmtId="0" fontId="5" fillId="2" borderId="4" xfId="0" applyFont="1" applyFill="1" applyBorder="1" applyAlignment="1">
      <alignment horizontal="center" vertical="center"/>
    </xf>
    <xf numFmtId="9" fontId="3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9" fontId="5" fillId="2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center" vertical="center"/>
    </xf>
    <xf numFmtId="10" fontId="4" fillId="5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 wrapText="1"/>
    </xf>
    <xf numFmtId="9" fontId="3" fillId="8" borderId="3" xfId="0" applyNumberFormat="1" applyFont="1" applyFill="1" applyBorder="1" applyAlignment="1">
      <alignment horizontal="center" vertical="center"/>
    </xf>
    <xf numFmtId="10" fontId="4" fillId="8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2" fontId="10" fillId="9" borderId="5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/>
    </xf>
    <xf numFmtId="9" fontId="5" fillId="11" borderId="4" xfId="0" applyNumberFormat="1" applyFont="1" applyFill="1" applyBorder="1" applyAlignment="1">
      <alignment horizontal="center" vertical="center"/>
    </xf>
    <xf numFmtId="10" fontId="5" fillId="11" borderId="4" xfId="0" applyNumberFormat="1" applyFont="1" applyFill="1" applyBorder="1" applyAlignment="1">
      <alignment horizontal="center" vertical="center"/>
    </xf>
    <xf numFmtId="2" fontId="13" fillId="9" borderId="5" xfId="0" applyNumberFormat="1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/>
    </xf>
    <xf numFmtId="9" fontId="5" fillId="13" borderId="4" xfId="0" applyNumberFormat="1" applyFont="1" applyFill="1" applyBorder="1" applyAlignment="1">
      <alignment horizontal="center" vertical="center"/>
    </xf>
    <xf numFmtId="10" fontId="5" fillId="13" borderId="4" xfId="0" applyNumberFormat="1" applyFont="1" applyFill="1" applyBorder="1" applyAlignment="1">
      <alignment horizontal="center" vertical="center"/>
    </xf>
    <xf numFmtId="2" fontId="15" fillId="9" borderId="5" xfId="0" applyNumberFormat="1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9" fontId="18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4" borderId="2" xfId="0" applyFont="1" applyFill="1" applyBorder="1" applyAlignment="1">
      <alignment vertical="center" wrapText="1"/>
    </xf>
    <xf numFmtId="0" fontId="19" fillId="4" borderId="2" xfId="0" applyFont="1" applyFill="1" applyBorder="1" applyAlignment="1">
      <alignment vertical="center"/>
    </xf>
    <xf numFmtId="0" fontId="19" fillId="4" borderId="2" xfId="0" applyFont="1" applyFill="1" applyBorder="1" applyAlignment="1">
      <alignment horizontal="left" vertical="center"/>
    </xf>
    <xf numFmtId="0" fontId="19" fillId="4" borderId="2" xfId="0" applyFont="1" applyFill="1" applyBorder="1" applyAlignment="1">
      <alignment horizontal="right" vertical="center" wrapText="1"/>
    </xf>
    <xf numFmtId="0" fontId="19" fillId="4" borderId="2" xfId="0" applyFont="1" applyFill="1" applyBorder="1" applyAlignment="1">
      <alignment horizontal="right" vertical="center"/>
    </xf>
    <xf numFmtId="0" fontId="20" fillId="0" borderId="0" xfId="0" applyFont="1"/>
    <xf numFmtId="0" fontId="6" fillId="10" borderId="6" xfId="0" applyFont="1" applyFill="1" applyBorder="1" applyAlignment="1">
      <alignment horizontal="left" vertical="center" wrapText="1"/>
    </xf>
    <xf numFmtId="0" fontId="22" fillId="10" borderId="2" xfId="0" applyFont="1" applyFill="1" applyBorder="1" applyAlignment="1">
      <alignment horizontal="left" vertical="center"/>
    </xf>
    <xf numFmtId="0" fontId="22" fillId="10" borderId="6" xfId="0" applyFont="1" applyFill="1" applyBorder="1" applyAlignment="1">
      <alignment horizontal="left" vertical="center"/>
    </xf>
    <xf numFmtId="0" fontId="22" fillId="10" borderId="6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2" fontId="10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4" fillId="15" borderId="6" xfId="0" applyFont="1" applyFill="1" applyBorder="1" applyAlignment="1">
      <alignment horizontal="left" vertical="center"/>
    </xf>
    <xf numFmtId="0" fontId="24" fillId="16" borderId="6" xfId="0" applyFont="1" applyFill="1" applyBorder="1" applyAlignment="1">
      <alignment horizontal="left" vertical="center"/>
    </xf>
    <xf numFmtId="0" fontId="23" fillId="17" borderId="6" xfId="0" applyFont="1" applyFill="1" applyBorder="1" applyAlignment="1">
      <alignment horizontal="left" vertical="center"/>
    </xf>
    <xf numFmtId="0" fontId="25" fillId="18" borderId="6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22" fillId="10" borderId="6" xfId="0" applyFont="1" applyFill="1" applyBorder="1" applyAlignment="1">
      <alignment horizontal="right" vertical="center" wrapText="1"/>
    </xf>
    <xf numFmtId="0" fontId="6" fillId="10" borderId="6" xfId="0" applyFont="1" applyFill="1" applyBorder="1" applyAlignment="1">
      <alignment horizontal="right" vertical="center" wrapText="1"/>
    </xf>
    <xf numFmtId="0" fontId="27" fillId="5" borderId="3" xfId="0" applyFont="1" applyFill="1" applyBorder="1" applyAlignment="1">
      <alignment horizontal="left" vertical="center" wrapText="1"/>
    </xf>
    <xf numFmtId="9" fontId="28" fillId="5" borderId="3" xfId="0" applyNumberFormat="1" applyFont="1" applyFill="1" applyBorder="1" applyAlignment="1">
      <alignment horizontal="center" vertical="center"/>
    </xf>
    <xf numFmtId="0" fontId="27" fillId="8" borderId="3" xfId="0" applyFont="1" applyFill="1" applyBorder="1" applyAlignment="1">
      <alignment horizontal="left" vertical="center" wrapText="1"/>
    </xf>
    <xf numFmtId="9" fontId="28" fillId="8" borderId="3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right" vertical="center"/>
    </xf>
    <xf numFmtId="164" fontId="7" fillId="4" borderId="2" xfId="1" applyNumberFormat="1" applyFont="1" applyFill="1" applyBorder="1" applyAlignment="1">
      <alignment vertical="center" wrapText="1"/>
    </xf>
    <xf numFmtId="164" fontId="29" fillId="4" borderId="2" xfId="1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/>
    </xf>
    <xf numFmtId="165" fontId="7" fillId="4" borderId="2" xfId="0" applyNumberFormat="1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165" fontId="7" fillId="4" borderId="2" xfId="0" applyNumberFormat="1" applyFont="1" applyFill="1" applyBorder="1" applyAlignment="1">
      <alignment horizontal="left" vertical="center"/>
    </xf>
    <xf numFmtId="164" fontId="29" fillId="4" borderId="2" xfId="1" applyNumberFormat="1" applyFont="1" applyFill="1" applyBorder="1" applyAlignment="1">
      <alignment horizontal="left" vertical="center"/>
    </xf>
    <xf numFmtId="0" fontId="22" fillId="10" borderId="17" xfId="0" applyFont="1" applyFill="1" applyBorder="1" applyAlignment="1">
      <alignment horizontal="right" vertical="center" wrapText="1"/>
    </xf>
    <xf numFmtId="0" fontId="30" fillId="0" borderId="0" xfId="0" applyFont="1" applyAlignment="1">
      <alignment vertical="center"/>
    </xf>
    <xf numFmtId="0" fontId="31" fillId="20" borderId="13" xfId="0" applyFont="1" applyFill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165" fontId="30" fillId="0" borderId="13" xfId="0" applyNumberFormat="1" applyFont="1" applyBorder="1" applyAlignment="1">
      <alignment horizontal="left" vertical="center"/>
    </xf>
    <xf numFmtId="0" fontId="30" fillId="0" borderId="13" xfId="0" applyFont="1" applyBorder="1" applyAlignment="1">
      <alignment vertical="center"/>
    </xf>
    <xf numFmtId="0" fontId="32" fillId="21" borderId="13" xfId="0" applyFont="1" applyFill="1" applyBorder="1" applyAlignment="1">
      <alignment horizontal="center" vertical="center" wrapText="1"/>
    </xf>
    <xf numFmtId="166" fontId="30" fillId="0" borderId="13" xfId="0" applyNumberFormat="1" applyFont="1" applyBorder="1" applyAlignment="1">
      <alignment horizontal="center" vertical="center"/>
    </xf>
    <xf numFmtId="2" fontId="30" fillId="0" borderId="13" xfId="0" applyNumberFormat="1" applyFont="1" applyBorder="1" applyAlignment="1">
      <alignment horizontal="center" vertical="center"/>
    </xf>
    <xf numFmtId="0" fontId="25" fillId="22" borderId="13" xfId="0" applyFont="1" applyFill="1" applyBorder="1" applyAlignment="1">
      <alignment horizontal="center" vertical="center"/>
    </xf>
    <xf numFmtId="166" fontId="25" fillId="22" borderId="13" xfId="0" applyNumberFormat="1" applyFont="1" applyFill="1" applyBorder="1" applyAlignment="1">
      <alignment horizontal="center" vertical="center"/>
    </xf>
    <xf numFmtId="2" fontId="25" fillId="22" borderId="13" xfId="0" applyNumberFormat="1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0" xfId="0" applyFont="1"/>
    <xf numFmtId="0" fontId="30" fillId="0" borderId="16" xfId="0" applyFont="1" applyBorder="1" applyAlignment="1">
      <alignment horizontal="right"/>
    </xf>
    <xf numFmtId="0" fontId="33" fillId="23" borderId="13" xfId="0" applyFont="1" applyFill="1" applyBorder="1" applyAlignment="1">
      <alignment horizontal="right"/>
    </xf>
    <xf numFmtId="164" fontId="33" fillId="23" borderId="13" xfId="1" applyNumberFormat="1" applyFont="1" applyFill="1" applyBorder="1" applyAlignment="1"/>
    <xf numFmtId="0" fontId="21" fillId="10" borderId="17" xfId="0" applyFont="1" applyFill="1" applyBorder="1" applyAlignment="1">
      <alignment horizontal="right" vertical="center" wrapText="1"/>
    </xf>
    <xf numFmtId="0" fontId="30" fillId="0" borderId="13" xfId="0" applyFont="1" applyBorder="1"/>
    <xf numFmtId="0" fontId="21" fillId="10" borderId="18" xfId="0" applyFont="1" applyFill="1" applyBorder="1" applyAlignment="1">
      <alignment horizontal="right" vertical="center" wrapText="1"/>
    </xf>
    <xf numFmtId="0" fontId="23" fillId="17" borderId="19" xfId="0" applyFont="1" applyFill="1" applyBorder="1" applyAlignment="1">
      <alignment horizontal="left" vertical="center"/>
    </xf>
    <xf numFmtId="0" fontId="23" fillId="17" borderId="19" xfId="0" applyFont="1" applyFill="1" applyBorder="1" applyAlignment="1">
      <alignment horizontal="right" vertical="center"/>
    </xf>
    <xf numFmtId="0" fontId="23" fillId="17" borderId="20" xfId="0" applyFont="1" applyFill="1" applyBorder="1" applyAlignment="1">
      <alignment horizontal="left" vertical="center"/>
    </xf>
    <xf numFmtId="0" fontId="30" fillId="0" borderId="16" xfId="0" applyFont="1" applyBorder="1" applyAlignment="1">
      <alignment vertical="center"/>
    </xf>
    <xf numFmtId="0" fontId="30" fillId="0" borderId="22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30" fillId="0" borderId="24" xfId="0" applyFont="1" applyBorder="1" applyAlignment="1">
      <alignment vertical="center"/>
    </xf>
    <xf numFmtId="0" fontId="30" fillId="0" borderId="25" xfId="0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8" fillId="21" borderId="13" xfId="0" applyFont="1" applyFill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 vertical="center"/>
    </xf>
    <xf numFmtId="9" fontId="41" fillId="5" borderId="3" xfId="0" applyNumberFormat="1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10" fontId="40" fillId="5" borderId="3" xfId="0" applyNumberFormat="1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/>
    </xf>
    <xf numFmtId="9" fontId="41" fillId="8" borderId="3" xfId="0" applyNumberFormat="1" applyFont="1" applyFill="1" applyBorder="1" applyAlignment="1">
      <alignment horizontal="center" vertical="center"/>
    </xf>
    <xf numFmtId="10" fontId="40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 wrapText="1"/>
    </xf>
    <xf numFmtId="0" fontId="44" fillId="8" borderId="3" xfId="0" applyFont="1" applyFill="1" applyBorder="1" applyAlignment="1">
      <alignment horizontal="center" vertical="center"/>
    </xf>
    <xf numFmtId="9" fontId="45" fillId="8" borderId="3" xfId="0" applyNumberFormat="1" applyFont="1" applyFill="1" applyBorder="1" applyAlignment="1">
      <alignment horizontal="center" vertical="center"/>
    </xf>
    <xf numFmtId="0" fontId="46" fillId="4" borderId="5" xfId="0" applyFont="1" applyFill="1" applyBorder="1" applyAlignment="1">
      <alignment horizontal="center" vertical="center"/>
    </xf>
    <xf numFmtId="10" fontId="44" fillId="8" borderId="3" xfId="0" applyNumberFormat="1" applyFont="1" applyFill="1" applyBorder="1" applyAlignment="1">
      <alignment horizontal="center" vertical="center"/>
    </xf>
    <xf numFmtId="0" fontId="47" fillId="0" borderId="0" xfId="0" applyFont="1"/>
    <xf numFmtId="0" fontId="44" fillId="5" borderId="3" xfId="0" applyFont="1" applyFill="1" applyBorder="1" applyAlignment="1">
      <alignment horizontal="center" vertical="center"/>
    </xf>
    <xf numFmtId="9" fontId="45" fillId="5" borderId="3" xfId="0" applyNumberFormat="1" applyFont="1" applyFill="1" applyBorder="1" applyAlignment="1">
      <alignment horizontal="center" vertical="center"/>
    </xf>
    <xf numFmtId="0" fontId="44" fillId="5" borderId="3" xfId="0" applyFont="1" applyFill="1" applyBorder="1" applyAlignment="1">
      <alignment horizontal="left" vertical="center" wrapText="1"/>
    </xf>
    <xf numFmtId="10" fontId="44" fillId="5" borderId="3" xfId="0" applyNumberFormat="1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10" fontId="27" fillId="5" borderId="3" xfId="0" applyNumberFormat="1" applyFont="1" applyFill="1" applyBorder="1" applyAlignment="1">
      <alignment horizontal="center" vertical="center"/>
    </xf>
    <xf numFmtId="0" fontId="48" fillId="0" borderId="0" xfId="0" applyFont="1"/>
    <xf numFmtId="0" fontId="27" fillId="8" borderId="3" xfId="0" applyFont="1" applyFill="1" applyBorder="1" applyAlignment="1">
      <alignment horizontal="center" vertical="center"/>
    </xf>
    <xf numFmtId="10" fontId="27" fillId="8" borderId="3" xfId="0" applyNumberFormat="1" applyFont="1" applyFill="1" applyBorder="1" applyAlignment="1">
      <alignment horizontal="center" vertical="center"/>
    </xf>
    <xf numFmtId="9" fontId="28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0" fillId="0" borderId="21" xfId="0" applyFont="1" applyBorder="1" applyAlignment="1">
      <alignment horizontal="center" vertical="center"/>
    </xf>
    <xf numFmtId="0" fontId="31" fillId="20" borderId="13" xfId="0" applyFont="1" applyFill="1" applyBorder="1" applyAlignment="1">
      <alignment horizontal="left" vertical="center"/>
    </xf>
    <xf numFmtId="0" fontId="30" fillId="0" borderId="13" xfId="0" applyFont="1" applyBorder="1" applyAlignment="1">
      <alignment vertical="center"/>
    </xf>
    <xf numFmtId="0" fontId="31" fillId="20" borderId="14" xfId="0" applyFont="1" applyFill="1" applyBorder="1" applyAlignment="1">
      <alignment horizontal="left" vertical="center"/>
    </xf>
    <xf numFmtId="0" fontId="31" fillId="20" borderId="15" xfId="0" applyFont="1" applyFill="1" applyBorder="1" applyAlignment="1">
      <alignment horizontal="left" vertical="center"/>
    </xf>
    <xf numFmtId="0" fontId="30" fillId="24" borderId="14" xfId="0" applyFont="1" applyFill="1" applyBorder="1" applyAlignment="1">
      <alignment horizontal="left" vertical="center"/>
    </xf>
    <xf numFmtId="0" fontId="30" fillId="24" borderId="15" xfId="0" applyFont="1" applyFill="1" applyBorder="1" applyAlignment="1">
      <alignment horizontal="left" vertical="center"/>
    </xf>
    <xf numFmtId="0" fontId="37" fillId="19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0" fillId="0" borderId="14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165" fontId="30" fillId="0" borderId="14" xfId="0" applyNumberFormat="1" applyFont="1" applyBorder="1" applyAlignment="1">
      <alignment horizontal="left" vertical="center"/>
    </xf>
    <xf numFmtId="165" fontId="30" fillId="0" borderId="15" xfId="0" applyNumberFormat="1" applyFont="1" applyBorder="1" applyAlignment="1">
      <alignment horizontal="left" vertical="center"/>
    </xf>
    <xf numFmtId="0" fontId="27" fillId="8" borderId="2" xfId="0" applyFont="1" applyFill="1" applyBorder="1" applyAlignment="1">
      <alignment horizontal="left" vertical="center" wrapText="1"/>
    </xf>
    <xf numFmtId="0" fontId="27" fillId="8" borderId="8" xfId="0" applyFont="1" applyFill="1" applyBorder="1" applyAlignment="1">
      <alignment horizontal="left" vertical="center" wrapText="1"/>
    </xf>
    <xf numFmtId="0" fontId="27" fillId="5" borderId="2" xfId="0" applyFont="1" applyFill="1" applyBorder="1" applyAlignment="1">
      <alignment horizontal="left" vertical="center" wrapText="1"/>
    </xf>
    <xf numFmtId="0" fontId="27" fillId="5" borderId="8" xfId="0" applyFont="1" applyFill="1" applyBorder="1" applyAlignment="1">
      <alignment horizontal="left" vertical="center" wrapText="1"/>
    </xf>
    <xf numFmtId="0" fontId="26" fillId="6" borderId="6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horizontal="left" vertical="top" wrapText="1"/>
    </xf>
    <xf numFmtId="0" fontId="11" fillId="6" borderId="7" xfId="0" applyFont="1" applyFill="1" applyBorder="1" applyAlignment="1">
      <alignment horizontal="left" vertical="top" wrapText="1"/>
    </xf>
    <xf numFmtId="0" fontId="11" fillId="6" borderId="2" xfId="0" applyFont="1" applyFill="1" applyBorder="1" applyAlignment="1">
      <alignment horizontal="left" vertical="top" wrapText="1"/>
    </xf>
    <xf numFmtId="0" fontId="11" fillId="6" borderId="3" xfId="0" applyFont="1" applyFill="1" applyBorder="1" applyAlignment="1">
      <alignment horizontal="left" vertical="top" wrapText="1"/>
    </xf>
    <xf numFmtId="0" fontId="5" fillId="25" borderId="1" xfId="0" applyFont="1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right" vertical="center"/>
    </xf>
    <xf numFmtId="0" fontId="1" fillId="14" borderId="11" xfId="0" applyFon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right" vertical="center"/>
    </xf>
    <xf numFmtId="0" fontId="27" fillId="8" borderId="26" xfId="0" applyFont="1" applyFill="1" applyBorder="1" applyAlignment="1">
      <alignment horizontal="left" vertical="center" wrapText="1"/>
    </xf>
    <xf numFmtId="0" fontId="27" fillId="8" borderId="27" xfId="0" applyFont="1" applyFill="1" applyBorder="1" applyAlignment="1">
      <alignment horizontal="left" vertical="center" wrapText="1"/>
    </xf>
    <xf numFmtId="0" fontId="44" fillId="8" borderId="2" xfId="0" applyFont="1" applyFill="1" applyBorder="1" applyAlignment="1">
      <alignment horizontal="left" vertical="center" wrapText="1"/>
    </xf>
    <xf numFmtId="0" fontId="44" fillId="8" borderId="8" xfId="0" applyFont="1" applyFill="1" applyBorder="1" applyAlignment="1">
      <alignment horizontal="left" vertical="center" wrapText="1"/>
    </xf>
    <xf numFmtId="0" fontId="44" fillId="5" borderId="2" xfId="0" applyFont="1" applyFill="1" applyBorder="1" applyAlignment="1">
      <alignment horizontal="left" vertical="center" wrapText="1"/>
    </xf>
    <xf numFmtId="0" fontId="44" fillId="5" borderId="8" xfId="0" applyFont="1" applyFill="1" applyBorder="1" applyAlignment="1">
      <alignment horizontal="left" vertical="center" wrapText="1"/>
    </xf>
    <xf numFmtId="0" fontId="40" fillId="5" borderId="2" xfId="0" applyFont="1" applyFill="1" applyBorder="1" applyAlignment="1">
      <alignment horizontal="left" vertical="center" wrapText="1"/>
    </xf>
    <xf numFmtId="0" fontId="40" fillId="5" borderId="8" xfId="0" applyFont="1" applyFill="1" applyBorder="1" applyAlignment="1">
      <alignment horizontal="left" vertical="center" wrapText="1"/>
    </xf>
    <xf numFmtId="0" fontId="40" fillId="8" borderId="2" xfId="0" applyFont="1" applyFill="1" applyBorder="1" applyAlignment="1">
      <alignment horizontal="left" vertical="center" wrapText="1"/>
    </xf>
    <xf numFmtId="0" fontId="40" fillId="8" borderId="8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3" fillId="8" borderId="2" xfId="0" applyFont="1" applyFill="1" applyBorder="1" applyAlignment="1">
      <alignment horizontal="left" vertical="center" wrapText="1"/>
    </xf>
    <xf numFmtId="0" fontId="4" fillId="8" borderId="8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E00"/>
      <rgbColor rgb="FF1B5E20"/>
      <rgbColor rgb="FF000080"/>
      <rgbColor rgb="FF7B4F00"/>
      <rgbColor rgb="FF800080"/>
      <rgbColor rgb="FF3E5370"/>
      <rgbColor rgb="FFCCCCCC"/>
      <rgbColor rgb="FF808080"/>
      <rgbColor rgb="FF9999FF"/>
      <rgbColor rgb="FF993366"/>
      <rgbColor rgb="FFFFF9E6"/>
      <rgbColor rgb="FFEBF5FB"/>
      <rgbColor rgb="FF660066"/>
      <rgbColor rgb="FFFF8080"/>
      <rgbColor rgb="FF0070C0"/>
      <rgbColor rgb="FFF3F7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D"/>
      <rgbColor rgb="FFF0F5FB"/>
      <rgbColor rgb="FFF7F7F7"/>
      <rgbColor rgb="FFF7FBFF"/>
      <rgbColor rgb="FFFAFAFA"/>
      <rgbColor rgb="FFCC99FF"/>
      <rgbColor rgb="FFF9F9F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2E7D32"/>
      <rgbColor rgb="FF003300"/>
      <rgbColor rgb="FF444444"/>
      <rgbColor rgb="FF8B25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1150620</xdr:colOff>
          <xdr:row>26</xdr:row>
          <xdr:rowOff>0</xdr:rowOff>
        </xdr:from>
        <xdr:to>
          <xdr:col>1</xdr:col>
          <xdr:colOff>0</xdr:colOff>
          <xdr:row>26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1143000</xdr:colOff>
          <xdr:row>27</xdr:row>
          <xdr:rowOff>15240</xdr:rowOff>
        </xdr:from>
        <xdr:to>
          <xdr:col>0</xdr:col>
          <xdr:colOff>1440180</xdr:colOff>
          <xdr:row>27</xdr:row>
          <xdr:rowOff>205740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1143000</xdr:colOff>
          <xdr:row>28</xdr:row>
          <xdr:rowOff>15240</xdr:rowOff>
        </xdr:from>
        <xdr:to>
          <xdr:col>0</xdr:col>
          <xdr:colOff>1440180</xdr:colOff>
          <xdr:row>28</xdr:row>
          <xdr:rowOff>205740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1135380</xdr:colOff>
          <xdr:row>29</xdr:row>
          <xdr:rowOff>15240</xdr:rowOff>
        </xdr:from>
        <xdr:to>
          <xdr:col>0</xdr:col>
          <xdr:colOff>1432560</xdr:colOff>
          <xdr:row>29</xdr:row>
          <xdr:rowOff>205740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1143000</xdr:colOff>
          <xdr:row>29</xdr:row>
          <xdr:rowOff>15240</xdr:rowOff>
        </xdr:from>
        <xdr:to>
          <xdr:col>0</xdr:col>
          <xdr:colOff>1440180</xdr:colOff>
          <xdr:row>29</xdr:row>
          <xdr:rowOff>205740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1135380</xdr:colOff>
          <xdr:row>30</xdr:row>
          <xdr:rowOff>15240</xdr:rowOff>
        </xdr:from>
        <xdr:to>
          <xdr:col>0</xdr:col>
          <xdr:colOff>1432560</xdr:colOff>
          <xdr:row>30</xdr:row>
          <xdr:rowOff>205740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749300</xdr:colOff>
      <xdr:row>1</xdr:row>
      <xdr:rowOff>273050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45F428-E6A3-7AA8-1658-DD8F65A9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9300" cy="6540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27</xdr:row>
          <xdr:rowOff>15240</xdr:rowOff>
        </xdr:from>
        <xdr:to>
          <xdr:col>1</xdr:col>
          <xdr:colOff>0</xdr:colOff>
          <xdr:row>27</xdr:row>
          <xdr:rowOff>205740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28</xdr:row>
          <xdr:rowOff>15240</xdr:rowOff>
        </xdr:from>
        <xdr:to>
          <xdr:col>1</xdr:col>
          <xdr:colOff>0</xdr:colOff>
          <xdr:row>28</xdr:row>
          <xdr:rowOff>205740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29</xdr:row>
          <xdr:rowOff>15240</xdr:rowOff>
        </xdr:from>
        <xdr:to>
          <xdr:col>1</xdr:col>
          <xdr:colOff>0</xdr:colOff>
          <xdr:row>29</xdr:row>
          <xdr:rowOff>205740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30</xdr:row>
          <xdr:rowOff>15240</xdr:rowOff>
        </xdr:from>
        <xdr:to>
          <xdr:col>1</xdr:col>
          <xdr:colOff>0</xdr:colOff>
          <xdr:row>30</xdr:row>
          <xdr:rowOff>205740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20</xdr:row>
          <xdr:rowOff>15240</xdr:rowOff>
        </xdr:from>
        <xdr:to>
          <xdr:col>1</xdr:col>
          <xdr:colOff>22860</xdr:colOff>
          <xdr:row>20</xdr:row>
          <xdr:rowOff>205740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21</xdr:row>
          <xdr:rowOff>15240</xdr:rowOff>
        </xdr:from>
        <xdr:to>
          <xdr:col>1</xdr:col>
          <xdr:colOff>22860</xdr:colOff>
          <xdr:row>21</xdr:row>
          <xdr:rowOff>205740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22</xdr:row>
          <xdr:rowOff>15240</xdr:rowOff>
        </xdr:from>
        <xdr:to>
          <xdr:col>1</xdr:col>
          <xdr:colOff>22860</xdr:colOff>
          <xdr:row>22</xdr:row>
          <xdr:rowOff>205740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23</xdr:row>
          <xdr:rowOff>15240</xdr:rowOff>
        </xdr:from>
        <xdr:to>
          <xdr:col>1</xdr:col>
          <xdr:colOff>22860</xdr:colOff>
          <xdr:row>23</xdr:row>
          <xdr:rowOff>205740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563880</xdr:colOff>
          <xdr:row>20</xdr:row>
          <xdr:rowOff>0</xdr:rowOff>
        </xdr:from>
        <xdr:to>
          <xdr:col>1</xdr:col>
          <xdr:colOff>0</xdr:colOff>
          <xdr:row>20</xdr:row>
          <xdr:rowOff>190500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586740</xdr:colOff>
          <xdr:row>21</xdr:row>
          <xdr:rowOff>15240</xdr:rowOff>
        </xdr:from>
        <xdr:to>
          <xdr:col>1</xdr:col>
          <xdr:colOff>15240</xdr:colOff>
          <xdr:row>21</xdr:row>
          <xdr:rowOff>205740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563880</xdr:colOff>
          <xdr:row>22</xdr:row>
          <xdr:rowOff>38100</xdr:rowOff>
        </xdr:from>
        <xdr:to>
          <xdr:col>1</xdr:col>
          <xdr:colOff>0</xdr:colOff>
          <xdr:row>23</xdr:row>
          <xdr:rowOff>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571500</xdr:colOff>
          <xdr:row>23</xdr:row>
          <xdr:rowOff>38100</xdr:rowOff>
        </xdr:from>
        <xdr:to>
          <xdr:col>1</xdr:col>
          <xdr:colOff>0</xdr:colOff>
          <xdr:row>24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25</xdr:row>
          <xdr:rowOff>15240</xdr:rowOff>
        </xdr:from>
        <xdr:to>
          <xdr:col>1</xdr:col>
          <xdr:colOff>0</xdr:colOff>
          <xdr:row>25</xdr:row>
          <xdr:rowOff>205740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26</xdr:row>
          <xdr:rowOff>15240</xdr:rowOff>
        </xdr:from>
        <xdr:to>
          <xdr:col>1</xdr:col>
          <xdr:colOff>0</xdr:colOff>
          <xdr:row>26</xdr:row>
          <xdr:rowOff>205740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27</xdr:row>
          <xdr:rowOff>15240</xdr:rowOff>
        </xdr:from>
        <xdr:to>
          <xdr:col>1</xdr:col>
          <xdr:colOff>0</xdr:colOff>
          <xdr:row>27</xdr:row>
          <xdr:rowOff>205740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601980</xdr:colOff>
          <xdr:row>28</xdr:row>
          <xdr:rowOff>15240</xdr:rowOff>
        </xdr:from>
        <xdr:to>
          <xdr:col>1</xdr:col>
          <xdr:colOff>0</xdr:colOff>
          <xdr:row>28</xdr:row>
          <xdr:rowOff>205740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9E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1.xml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CE77-CEA1-4FB1-915F-08545DFE0983}">
  <sheetPr>
    <tabColor rgb="FF92D050"/>
  </sheetPr>
  <dimension ref="A1:J42"/>
  <sheetViews>
    <sheetView view="pageBreakPreview" zoomScaleNormal="100" zoomScaleSheetLayoutView="100" workbookViewId="0">
      <selection activeCell="B15" sqref="B15"/>
    </sheetView>
  </sheetViews>
  <sheetFormatPr defaultColWidth="8.77734375" defaultRowHeight="13.8" x14ac:dyDescent="0.3"/>
  <cols>
    <col min="1" max="1" width="21.109375" style="66" customWidth="1"/>
    <col min="2" max="2" width="33.6640625" style="66" customWidth="1"/>
    <col min="3" max="3" width="15.33203125" style="66" customWidth="1"/>
    <col min="4" max="4" width="20" style="66" customWidth="1"/>
    <col min="5" max="5" width="29" style="66" customWidth="1"/>
    <col min="6" max="7" width="8.77734375" style="66"/>
    <col min="8" max="8" width="49.44140625" style="66" bestFit="1" customWidth="1"/>
    <col min="9" max="9" width="4.33203125" style="66" customWidth="1"/>
    <col min="10" max="10" width="13.77734375" style="66" bestFit="1" customWidth="1"/>
    <col min="11" max="16384" width="8.77734375" style="66"/>
  </cols>
  <sheetData>
    <row r="1" spans="1:10" ht="30" x14ac:dyDescent="0.3">
      <c r="A1" s="119" t="s">
        <v>32</v>
      </c>
      <c r="B1" s="119"/>
      <c r="C1" s="119"/>
      <c r="D1" s="119"/>
      <c r="E1" s="119"/>
    </row>
    <row r="2" spans="1:10" ht="25.95" customHeight="1" x14ac:dyDescent="0.3">
      <c r="A2" s="120" t="s">
        <v>33</v>
      </c>
      <c r="B2" s="120"/>
      <c r="C2" s="120"/>
      <c r="D2" s="120"/>
      <c r="E2" s="120"/>
    </row>
    <row r="3" spans="1:10" ht="6.45" customHeight="1" thickBot="1" x14ac:dyDescent="0.35">
      <c r="A3" s="121"/>
      <c r="B3" s="121"/>
      <c r="C3" s="121"/>
      <c r="D3" s="121"/>
      <c r="E3" s="121"/>
    </row>
    <row r="5" spans="1:10" ht="21" x14ac:dyDescent="0.3">
      <c r="A5" s="128" t="s">
        <v>41</v>
      </c>
      <c r="B5" s="128"/>
      <c r="C5" s="128"/>
      <c r="D5" s="128"/>
      <c r="E5" s="128"/>
    </row>
    <row r="6" spans="1:10" x14ac:dyDescent="0.3">
      <c r="A6" s="129" t="s">
        <v>38</v>
      </c>
      <c r="B6" s="129"/>
      <c r="C6" s="129"/>
      <c r="D6" s="129"/>
      <c r="E6" s="129"/>
    </row>
    <row r="7" spans="1:10" x14ac:dyDescent="0.3">
      <c r="A7" s="93"/>
      <c r="H7" s="66" t="s">
        <v>101</v>
      </c>
      <c r="J7" s="67" t="s">
        <v>35</v>
      </c>
    </row>
    <row r="8" spans="1:10" ht="17.55" customHeight="1" x14ac:dyDescent="0.3">
      <c r="A8" s="67" t="s">
        <v>42</v>
      </c>
      <c r="B8" s="124" t="s">
        <v>130</v>
      </c>
      <c r="C8" s="125"/>
      <c r="D8" s="67" t="s">
        <v>43</v>
      </c>
      <c r="E8" s="67" t="s">
        <v>162</v>
      </c>
    </row>
    <row r="9" spans="1:10" ht="17.55" customHeight="1" x14ac:dyDescent="0.3">
      <c r="A9" s="67" t="s">
        <v>36</v>
      </c>
      <c r="B9" s="124" t="s">
        <v>44</v>
      </c>
      <c r="C9" s="125"/>
      <c r="D9" s="67" t="s">
        <v>37</v>
      </c>
      <c r="E9" s="67" t="s">
        <v>40</v>
      </c>
      <c r="H9" s="66" t="s">
        <v>102</v>
      </c>
      <c r="J9" s="66" t="s">
        <v>103</v>
      </c>
    </row>
    <row r="10" spans="1:10" x14ac:dyDescent="0.3">
      <c r="H10" s="66" t="s">
        <v>104</v>
      </c>
      <c r="J10" s="66" t="s">
        <v>105</v>
      </c>
    </row>
    <row r="11" spans="1:10" ht="17.55" customHeight="1" x14ac:dyDescent="0.3">
      <c r="A11" s="67" t="s">
        <v>34</v>
      </c>
      <c r="B11" s="68" t="s">
        <v>209</v>
      </c>
      <c r="C11" s="67" t="s">
        <v>18</v>
      </c>
      <c r="D11" s="130" t="s">
        <v>210</v>
      </c>
      <c r="E11" s="131"/>
      <c r="H11" s="66" t="s">
        <v>106</v>
      </c>
      <c r="J11" s="66" t="s">
        <v>107</v>
      </c>
    </row>
    <row r="12" spans="1:10" ht="17.55" customHeight="1" x14ac:dyDescent="0.3">
      <c r="A12" s="67" t="s">
        <v>21</v>
      </c>
      <c r="B12" s="68">
        <v>8365</v>
      </c>
      <c r="C12" s="67" t="s">
        <v>35</v>
      </c>
      <c r="D12" s="132" t="s">
        <v>121</v>
      </c>
      <c r="E12" s="133"/>
      <c r="H12" s="66" t="s">
        <v>108</v>
      </c>
      <c r="J12" s="66" t="s">
        <v>109</v>
      </c>
    </row>
    <row r="13" spans="1:10" ht="17.55" customHeight="1" x14ac:dyDescent="0.3">
      <c r="A13" s="67" t="s">
        <v>23</v>
      </c>
      <c r="B13" s="68">
        <v>72000</v>
      </c>
      <c r="C13" s="67" t="s">
        <v>30</v>
      </c>
      <c r="D13" s="132">
        <v>45292</v>
      </c>
      <c r="E13" s="133"/>
      <c r="H13" s="66" t="s">
        <v>110</v>
      </c>
      <c r="J13" s="66" t="s">
        <v>111</v>
      </c>
    </row>
    <row r="14" spans="1:10" ht="17.55" customHeight="1" x14ac:dyDescent="0.3">
      <c r="A14" s="67" t="s">
        <v>39</v>
      </c>
      <c r="B14" s="69">
        <v>46195</v>
      </c>
      <c r="C14" s="67" t="s">
        <v>24</v>
      </c>
      <c r="D14" s="126" t="str">
        <f>IF(OR(D13="",B14=""),"",(YEAR(B14)-YEAR(D13)-IF(DATE(YEAR(B14),MONTH(D13),DAY(D13))&gt;B14,1,0))&amp;" Y "&amp;(MONTH(B14)-MONTH(D13)+IF(DAY(B14)&lt;DAY(D13),-1,0)+IF(MONTH(B14)-MONTH(D13)+IF(DAY(B14)&lt;DAY(D13),-1,0)&lt;0,12,0))&amp;" M "&amp;(B14-DATE(YEAR(B14),MONTH(B14)-IF(DAY(B14)&lt;DAY(D13),1,0),DAY(D13)))&amp;" D")</f>
        <v>2 Y 5 M 21 D</v>
      </c>
      <c r="E14" s="127"/>
      <c r="H14" s="66" t="s">
        <v>112</v>
      </c>
      <c r="J14" s="66" t="s">
        <v>113</v>
      </c>
    </row>
    <row r="15" spans="1:10" x14ac:dyDescent="0.3">
      <c r="H15" s="66" t="s">
        <v>71</v>
      </c>
      <c r="J15" s="66" t="s">
        <v>114</v>
      </c>
    </row>
    <row r="16" spans="1:10" x14ac:dyDescent="0.3">
      <c r="H16" s="66" t="s">
        <v>115</v>
      </c>
      <c r="J16" s="66" t="s">
        <v>116</v>
      </c>
    </row>
    <row r="17" spans="1:10" ht="27.6" x14ac:dyDescent="0.3">
      <c r="A17" s="71" t="s">
        <v>45</v>
      </c>
      <c r="B17" s="71" t="s">
        <v>0</v>
      </c>
      <c r="C17" s="94" t="s">
        <v>60</v>
      </c>
      <c r="D17" s="71" t="s">
        <v>1</v>
      </c>
      <c r="E17" s="71" t="s">
        <v>7</v>
      </c>
      <c r="H17" s="66" t="s">
        <v>117</v>
      </c>
      <c r="J17" s="66" t="s">
        <v>118</v>
      </c>
    </row>
    <row r="18" spans="1:10" ht="17.55" customHeight="1" x14ac:dyDescent="0.3">
      <c r="A18" s="70" t="s">
        <v>46</v>
      </c>
      <c r="B18" s="72">
        <v>50</v>
      </c>
      <c r="C18" s="73">
        <f>IFERROR('Part A - HOD (50%)'!$G$25,"")</f>
        <v>100.00000000000004</v>
      </c>
      <c r="D18" s="73">
        <f>IF(C18="","",C18*B18/100)</f>
        <v>50.000000000000021</v>
      </c>
      <c r="E18" s="70"/>
      <c r="H18" s="66" t="s">
        <v>119</v>
      </c>
      <c r="J18" s="66" t="s">
        <v>61</v>
      </c>
    </row>
    <row r="19" spans="1:10" ht="17.55" customHeight="1" x14ac:dyDescent="0.3">
      <c r="A19" s="70" t="s">
        <v>47</v>
      </c>
      <c r="B19" s="72">
        <v>30</v>
      </c>
      <c r="C19" s="73">
        <f>IFERROR('Part B - HR (30%)'!$G$18,"")</f>
        <v>100.00000000000003</v>
      </c>
      <c r="D19" s="73">
        <f t="shared" ref="D19" si="0">IF(C19="","",C19*B19/100)</f>
        <v>30.000000000000011</v>
      </c>
      <c r="E19" s="70"/>
      <c r="H19" s="66" t="s">
        <v>120</v>
      </c>
      <c r="J19" s="66" t="s">
        <v>121</v>
      </c>
    </row>
    <row r="20" spans="1:10" ht="17.55" customHeight="1" x14ac:dyDescent="0.3">
      <c r="A20" s="70" t="s">
        <v>48</v>
      </c>
      <c r="B20" s="72">
        <v>20</v>
      </c>
      <c r="C20" s="73">
        <f>IFERROR('Part C - Audit (20%)'!$G$18,"")</f>
        <v>100.00000000000003</v>
      </c>
      <c r="D20" s="73">
        <f>IF(C20="","",C20*B20/100)</f>
        <v>20.000000000000004</v>
      </c>
      <c r="E20" s="70"/>
      <c r="H20" s="66" t="s">
        <v>122</v>
      </c>
      <c r="J20" s="66" t="s">
        <v>123</v>
      </c>
    </row>
    <row r="21" spans="1:10" ht="17.55" customHeight="1" x14ac:dyDescent="0.3">
      <c r="A21" s="74" t="s">
        <v>49</v>
      </c>
      <c r="B21" s="75">
        <v>100</v>
      </c>
      <c r="C21" s="76">
        <f>IF(D21="","",D21)</f>
        <v>100.00000000000003</v>
      </c>
      <c r="D21" s="76">
        <f>IF(SUM(D18:D20)=0,"",SUM(D18:D20))</f>
        <v>100.00000000000003</v>
      </c>
      <c r="E21" s="74"/>
      <c r="H21" s="66" t="s">
        <v>124</v>
      </c>
      <c r="J21" s="66" t="s">
        <v>125</v>
      </c>
    </row>
    <row r="22" spans="1:10" x14ac:dyDescent="0.3">
      <c r="H22" s="66" t="s">
        <v>126</v>
      </c>
      <c r="J22" s="66" t="s">
        <v>127</v>
      </c>
    </row>
    <row r="23" spans="1:10" ht="19.95" customHeight="1" x14ac:dyDescent="0.3">
      <c r="A23" s="122" t="s">
        <v>59</v>
      </c>
      <c r="B23" s="123"/>
      <c r="C23" s="123"/>
      <c r="D23" s="123"/>
      <c r="E23" s="123"/>
      <c r="H23" s="66" t="s">
        <v>128</v>
      </c>
      <c r="J23" s="66" t="s">
        <v>129</v>
      </c>
    </row>
    <row r="24" spans="1:10" ht="19.95" customHeight="1" x14ac:dyDescent="0.3">
      <c r="A24" s="70" t="s">
        <v>50</v>
      </c>
      <c r="B24" s="77" t="str">
        <f>IF(D21="","",IF(D21&gt;=90,"Excellent",IF(D21&gt;=80,"Very Good",IF(D21&gt;=70,"Good",IF(D21&gt;=60,"Needs Improvement","Unsatisfactory")))))</f>
        <v>Excellent</v>
      </c>
      <c r="C24" s="70"/>
      <c r="D24" s="70"/>
      <c r="E24" s="70"/>
      <c r="H24" s="66" t="s">
        <v>130</v>
      </c>
      <c r="J24" s="66" t="s">
        <v>131</v>
      </c>
    </row>
    <row r="25" spans="1:10" x14ac:dyDescent="0.3">
      <c r="H25" s="66" t="s">
        <v>132</v>
      </c>
      <c r="J25" s="66" t="s">
        <v>133</v>
      </c>
    </row>
    <row r="26" spans="1:10" ht="18" customHeight="1" x14ac:dyDescent="0.3">
      <c r="A26" s="122" t="s">
        <v>51</v>
      </c>
      <c r="B26" s="123"/>
      <c r="C26" s="123"/>
      <c r="D26" s="123"/>
      <c r="E26" s="123"/>
      <c r="H26" s="66" t="s">
        <v>134</v>
      </c>
      <c r="J26" s="66" t="s">
        <v>135</v>
      </c>
    </row>
    <row r="27" spans="1:10" s="78" customFormat="1" ht="18" customHeight="1" x14ac:dyDescent="0.25">
      <c r="A27" s="79"/>
      <c r="B27" s="85" t="s">
        <v>52</v>
      </c>
      <c r="C27" s="85"/>
      <c r="D27" s="86" t="s">
        <v>57</v>
      </c>
      <c r="E27" s="87"/>
      <c r="H27" s="78" t="s">
        <v>136</v>
      </c>
      <c r="J27" s="66" t="s">
        <v>137</v>
      </c>
    </row>
    <row r="28" spans="1:10" s="78" customFormat="1" ht="18" customHeight="1" x14ac:dyDescent="0.3">
      <c r="A28" s="65"/>
      <c r="B28" s="48" t="s">
        <v>27</v>
      </c>
      <c r="C28" s="48"/>
      <c r="D28" s="80" t="s">
        <v>56</v>
      </c>
      <c r="E28" s="81">
        <f>C28+B13</f>
        <v>72000</v>
      </c>
      <c r="H28" s="78" t="s">
        <v>138</v>
      </c>
      <c r="J28" s="66" t="s">
        <v>139</v>
      </c>
    </row>
    <row r="29" spans="1:10" s="78" customFormat="1" ht="18" customHeight="1" x14ac:dyDescent="0.25">
      <c r="A29" s="82"/>
      <c r="B29" s="83" t="s">
        <v>53</v>
      </c>
      <c r="C29" s="83"/>
      <c r="D29" s="83"/>
      <c r="E29" s="83"/>
      <c r="H29" s="78" t="s">
        <v>140</v>
      </c>
      <c r="J29" s="66" t="s">
        <v>141</v>
      </c>
    </row>
    <row r="30" spans="1:10" s="78" customFormat="1" ht="18" customHeight="1" x14ac:dyDescent="0.25">
      <c r="A30" s="82"/>
      <c r="B30" s="83" t="s">
        <v>54</v>
      </c>
      <c r="C30" s="83"/>
      <c r="D30" s="83"/>
      <c r="E30" s="83"/>
      <c r="H30" s="78" t="s">
        <v>48</v>
      </c>
    </row>
    <row r="31" spans="1:10" s="78" customFormat="1" ht="18" customHeight="1" x14ac:dyDescent="0.25">
      <c r="A31" s="84"/>
      <c r="B31" s="83" t="s">
        <v>55</v>
      </c>
      <c r="C31" s="83"/>
      <c r="D31" s="83"/>
      <c r="E31" s="83"/>
    </row>
    <row r="34" spans="1:5" x14ac:dyDescent="0.3">
      <c r="A34" s="122" t="s">
        <v>58</v>
      </c>
      <c r="B34" s="123"/>
      <c r="C34" s="123"/>
      <c r="D34" s="123"/>
      <c r="E34" s="123"/>
    </row>
    <row r="35" spans="1:5" x14ac:dyDescent="0.3">
      <c r="A35" s="88"/>
      <c r="E35" s="89"/>
    </row>
    <row r="36" spans="1:5" x14ac:dyDescent="0.3">
      <c r="A36" s="88"/>
      <c r="E36" s="89"/>
    </row>
    <row r="37" spans="1:5" x14ac:dyDescent="0.3">
      <c r="A37" s="88"/>
      <c r="E37" s="89"/>
    </row>
    <row r="38" spans="1:5" x14ac:dyDescent="0.3">
      <c r="A38" s="88"/>
      <c r="E38" s="89"/>
    </row>
    <row r="39" spans="1:5" x14ac:dyDescent="0.3">
      <c r="A39" s="88"/>
      <c r="E39" s="89"/>
    </row>
    <row r="40" spans="1:5" x14ac:dyDescent="0.3">
      <c r="A40" s="88"/>
      <c r="E40" s="89"/>
    </row>
    <row r="41" spans="1:5" x14ac:dyDescent="0.3">
      <c r="A41" s="88"/>
      <c r="E41" s="89"/>
    </row>
    <row r="42" spans="1:5" x14ac:dyDescent="0.3">
      <c r="A42" s="90"/>
      <c r="B42" s="91"/>
      <c r="C42" s="91"/>
      <c r="D42" s="91"/>
      <c r="E42" s="92"/>
    </row>
  </sheetData>
  <mergeCells count="14">
    <mergeCell ref="A1:E1"/>
    <mergeCell ref="A2:E2"/>
    <mergeCell ref="A3:E3"/>
    <mergeCell ref="A34:E34"/>
    <mergeCell ref="B8:C8"/>
    <mergeCell ref="D14:E14"/>
    <mergeCell ref="A5:E5"/>
    <mergeCell ref="A6:E6"/>
    <mergeCell ref="A26:E26"/>
    <mergeCell ref="D11:E11"/>
    <mergeCell ref="D12:E12"/>
    <mergeCell ref="D13:E13"/>
    <mergeCell ref="A23:E23"/>
    <mergeCell ref="B9:C9"/>
  </mergeCells>
  <dataValidations count="6">
    <dataValidation type="list" allowBlank="1" showInputMessage="1" showErrorMessage="1" sqref="E9" xr:uid="{87A30EA2-C012-4E11-8B30-5376CA020204}">
      <formula1>"2025-2026,,2025,2026,2026-2027"</formula1>
    </dataValidation>
    <dataValidation type="list" allowBlank="1" showInputMessage="1" showErrorMessage="1" sqref="B9" xr:uid="{055F1D20-25D0-4CD5-9FB5-5F85320FF610}">
      <formula1>"Yearly,Half-Yearly,Quarterly,Special"</formula1>
    </dataValidation>
    <dataValidation type="list" allowBlank="1" showInputMessage="1" showErrorMessage="1" sqref="E8" xr:uid="{1AC8DEA5-5282-4CD5-A755-27E84E43FBE6}">
      <formula1>"Board,C-Suite,Executive,Leadership,Management,Senior and Entry"</formula1>
    </dataValidation>
    <dataValidation type="list" allowBlank="1" showInputMessage="1" showErrorMessage="1" sqref="E27" xr:uid="{BB83C4F5-DBA2-4418-8BA9-7BC7169DE519}">
      <formula1>"Band 1,Band 2,Band 3,Band 4,Band 5,Band 6,Band 7,Band 8,Band 9,Band 10,Band 11,Band 12,Band 13,Band 14,Band 15,Band 16,Band 17,Band 18,Band 19,Band 20"</formula1>
    </dataValidation>
    <dataValidation type="list" allowBlank="1" showInputMessage="1" showErrorMessage="1" sqref="B8:C8" xr:uid="{69418557-EDD1-4614-B2E7-FF282D94376F}">
      <formula1>$H$9:$H$30</formula1>
    </dataValidation>
    <dataValidation type="list" allowBlank="1" showInputMessage="1" showErrorMessage="1" sqref="D12:E12" xr:uid="{B9581CF4-7EA1-4859-8330-A4E922D489A2}">
      <formula1>$J$9:$J$29</formula1>
    </dataValidation>
  </dataValidations>
  <printOptions horizontalCentered="1"/>
  <pageMargins left="0.2" right="0.2" top="0.5" bottom="0.25" header="0.1" footer="0.15"/>
  <pageSetup paperSize="9"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4" name="Check Box 3">
              <controlPr defaultSize="0" autoFill="0" autoLine="0" autoPict="0">
                <anchor moveWithCells="1">
                  <from>
                    <xdr:col>0</xdr:col>
                    <xdr:colOff>1150620</xdr:colOff>
                    <xdr:row>26</xdr:row>
                    <xdr:rowOff>0</xdr:rowOff>
                  </from>
                  <to>
                    <xdr:col>0</xdr:col>
                    <xdr:colOff>1447800</xdr:colOff>
                    <xdr:row>26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5" name="Check Box 4">
              <controlPr defaultSize="0" autoFill="0" autoLine="0" autoPict="0">
                <anchor moveWithCells="1">
                  <from>
                    <xdr:col>0</xdr:col>
                    <xdr:colOff>1143000</xdr:colOff>
                    <xdr:row>27</xdr:row>
                    <xdr:rowOff>15240</xdr:rowOff>
                  </from>
                  <to>
                    <xdr:col>0</xdr:col>
                    <xdr:colOff>1440180</xdr:colOff>
                    <xdr:row>27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6" name="Check Box 5">
              <controlPr defaultSize="0" autoFill="0" autoLine="0" autoPict="0">
                <anchor moveWithCells="1">
                  <from>
                    <xdr:col>0</xdr:col>
                    <xdr:colOff>1143000</xdr:colOff>
                    <xdr:row>28</xdr:row>
                    <xdr:rowOff>15240</xdr:rowOff>
                  </from>
                  <to>
                    <xdr:col>0</xdr:col>
                    <xdr:colOff>1440180</xdr:colOff>
                    <xdr:row>28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7" name="Check Box 6">
              <controlPr defaultSize="0" autoFill="0" autoLine="0" autoPict="0">
                <anchor moveWithCells="1">
                  <from>
                    <xdr:col>0</xdr:col>
                    <xdr:colOff>1135380</xdr:colOff>
                    <xdr:row>29</xdr:row>
                    <xdr:rowOff>15240</xdr:rowOff>
                  </from>
                  <to>
                    <xdr:col>0</xdr:col>
                    <xdr:colOff>1432560</xdr:colOff>
                    <xdr:row>29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8" name="Check Box 7">
              <controlPr defaultSize="0" autoFill="0" autoLine="0" autoPict="0">
                <anchor moveWithCells="1">
                  <from>
                    <xdr:col>0</xdr:col>
                    <xdr:colOff>1143000</xdr:colOff>
                    <xdr:row>29</xdr:row>
                    <xdr:rowOff>15240</xdr:rowOff>
                  </from>
                  <to>
                    <xdr:col>0</xdr:col>
                    <xdr:colOff>1440180</xdr:colOff>
                    <xdr:row>29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9" name="Check Box 8">
              <controlPr defaultSize="0" autoFill="0" autoLine="0" autoPict="0">
                <anchor moveWithCells="1">
                  <from>
                    <xdr:col>0</xdr:col>
                    <xdr:colOff>1135380</xdr:colOff>
                    <xdr:row>30</xdr:row>
                    <xdr:rowOff>15240</xdr:rowOff>
                  </from>
                  <to>
                    <xdr:col>0</xdr:col>
                    <xdr:colOff>1432560</xdr:colOff>
                    <xdr:row>30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K36"/>
  <sheetViews>
    <sheetView view="pageBreakPreview" topLeftCell="A15" zoomScaleNormal="100" zoomScaleSheetLayoutView="100" workbookViewId="0">
      <selection activeCell="D9" sqref="D9"/>
    </sheetView>
  </sheetViews>
  <sheetFormatPr defaultColWidth="8.77734375" defaultRowHeight="14.4" x14ac:dyDescent="0.3"/>
  <cols>
    <col min="1" max="1" width="12.88671875" customWidth="1"/>
    <col min="2" max="2" width="19" customWidth="1"/>
    <col min="3" max="3" width="19.5546875" customWidth="1"/>
    <col min="4" max="4" width="13.77734375" customWidth="1"/>
    <col min="5" max="5" width="47.77734375" style="30" hidden="1" customWidth="1"/>
    <col min="6" max="6" width="13.77734375" customWidth="1"/>
    <col min="7" max="7" width="16.88671875" customWidth="1"/>
    <col min="8" max="8" width="20" customWidth="1"/>
  </cols>
  <sheetData>
    <row r="1" spans="1:11" ht="37.049999999999997" customHeight="1" thickBot="1" x14ac:dyDescent="0.35">
      <c r="A1" s="143" t="s">
        <v>143</v>
      </c>
      <c r="B1" s="144"/>
      <c r="C1" s="144"/>
      <c r="D1" s="144"/>
      <c r="E1" s="144"/>
      <c r="F1" s="144"/>
      <c r="G1" s="144"/>
      <c r="H1" s="144"/>
    </row>
    <row r="2" spans="1:11" ht="15.75" customHeight="1" x14ac:dyDescent="0.3">
      <c r="A2" s="33" t="s">
        <v>17</v>
      </c>
      <c r="B2" s="59" t="str">
        <f>'Top Sheet'!B11</f>
        <v>Navid Anjum Shuvro</v>
      </c>
      <c r="C2" s="31"/>
      <c r="D2" s="33" t="s">
        <v>21</v>
      </c>
      <c r="E2" s="31"/>
      <c r="F2" s="61">
        <f>'Top Sheet'!B12</f>
        <v>8365</v>
      </c>
      <c r="G2" s="34" t="s">
        <v>19</v>
      </c>
      <c r="H2" s="31" t="str">
        <f>'Top Sheet'!D12</f>
        <v>Band 11</v>
      </c>
    </row>
    <row r="3" spans="1:11" ht="15.75" customHeight="1" x14ac:dyDescent="0.3">
      <c r="A3" s="32" t="s">
        <v>18</v>
      </c>
      <c r="B3" s="59" t="str">
        <f>'Top Sheet'!D11</f>
        <v>SOFTWARE DEVELOPMENT SPECIALIST</v>
      </c>
      <c r="C3" s="31"/>
      <c r="D3" s="33" t="s">
        <v>20</v>
      </c>
      <c r="E3" s="31"/>
      <c r="F3" s="31" t="str">
        <f>'Top Sheet'!E9</f>
        <v>2025-2026</v>
      </c>
      <c r="G3" s="35" t="s">
        <v>23</v>
      </c>
      <c r="H3" s="57">
        <f>'Top Sheet'!B13</f>
        <v>72000</v>
      </c>
    </row>
    <row r="4" spans="1:11" ht="15.75" customHeight="1" x14ac:dyDescent="0.3">
      <c r="A4" s="33" t="s">
        <v>22</v>
      </c>
      <c r="B4" s="60">
        <f>'Top Sheet'!D13</f>
        <v>45292</v>
      </c>
      <c r="C4" s="31"/>
      <c r="D4" s="33" t="s">
        <v>24</v>
      </c>
      <c r="E4" s="31"/>
      <c r="F4" s="31" t="str">
        <f>'Top Sheet'!D14</f>
        <v>2 Y 5 M 21 D</v>
      </c>
      <c r="G4" s="56" t="s">
        <v>31</v>
      </c>
      <c r="H4" s="58" t="str">
        <f>IF(C29="","",H3+C29)</f>
        <v/>
      </c>
    </row>
    <row r="5" spans="1:11" ht="19.05" customHeight="1" thickBot="1" x14ac:dyDescent="0.35">
      <c r="A5" s="145" t="s">
        <v>3</v>
      </c>
      <c r="B5" s="145"/>
      <c r="C5" s="145"/>
      <c r="D5" s="145"/>
      <c r="E5" s="145"/>
      <c r="F5" s="145"/>
      <c r="G5" s="145"/>
      <c r="H5" s="145"/>
    </row>
    <row r="6" spans="1:11" ht="30" customHeight="1" thickBot="1" x14ac:dyDescent="0.35">
      <c r="A6" s="5" t="s">
        <v>4</v>
      </c>
      <c r="B6" s="148" t="s">
        <v>5</v>
      </c>
      <c r="C6" s="149"/>
      <c r="D6" s="5" t="s">
        <v>0</v>
      </c>
      <c r="E6" s="28" t="s">
        <v>16</v>
      </c>
      <c r="F6" s="5" t="s">
        <v>6</v>
      </c>
      <c r="G6" s="5" t="s">
        <v>1</v>
      </c>
      <c r="H6" s="5" t="s">
        <v>7</v>
      </c>
      <c r="K6" s="36"/>
    </row>
    <row r="7" spans="1:11" ht="42" customHeight="1" thickBot="1" x14ac:dyDescent="0.35">
      <c r="A7" s="112">
        <v>1</v>
      </c>
      <c r="B7" s="136" t="s">
        <v>163</v>
      </c>
      <c r="C7" s="137"/>
      <c r="D7" s="53">
        <v>0.04</v>
      </c>
      <c r="E7" s="52" t="s">
        <v>177</v>
      </c>
      <c r="F7" s="7">
        <v>5</v>
      </c>
      <c r="G7" s="113">
        <f t="shared" ref="G7:G8" si="0">IF(F7="","",(F7/5)*D7)</f>
        <v>0.04</v>
      </c>
      <c r="H7" s="112" t="str">
        <f t="shared" ref="H7:H8" si="1">IF(F7="","—",IF(F7=5,"Excellent",IF(F7=4,"Very Good",IF(F7=3,"Good",IF(F7=2,"Needs Improvement","Poor")))))</f>
        <v>Excellent</v>
      </c>
    </row>
    <row r="8" spans="1:11" ht="37.950000000000003" customHeight="1" thickBot="1" x14ac:dyDescent="0.35">
      <c r="A8" s="115">
        <v>2</v>
      </c>
      <c r="B8" s="134" t="s">
        <v>164</v>
      </c>
      <c r="C8" s="135"/>
      <c r="D8" s="55">
        <v>0.05</v>
      </c>
      <c r="E8" s="54" t="s">
        <v>178</v>
      </c>
      <c r="F8" s="7">
        <v>5</v>
      </c>
      <c r="G8" s="116">
        <f t="shared" si="0"/>
        <v>0.05</v>
      </c>
      <c r="H8" s="115" t="str">
        <f t="shared" si="1"/>
        <v>Excellent</v>
      </c>
    </row>
    <row r="9" spans="1:11" ht="39" customHeight="1" thickBot="1" x14ac:dyDescent="0.35">
      <c r="A9" s="112">
        <v>3</v>
      </c>
      <c r="B9" s="136" t="s">
        <v>165</v>
      </c>
      <c r="C9" s="137"/>
      <c r="D9" s="53">
        <v>0.03</v>
      </c>
      <c r="E9" s="52" t="s">
        <v>179</v>
      </c>
      <c r="F9" s="7">
        <v>5</v>
      </c>
      <c r="G9" s="113">
        <f t="shared" ref="G9:G23" si="2">IF(F9="","",(F9/5)*D9)</f>
        <v>0.03</v>
      </c>
      <c r="H9" s="112" t="str">
        <f t="shared" ref="H9:H23" si="3">IF(F9="","—",IF(F9=5,"Excellent",IF(F9=4,"Very Good",IF(F9=3,"Good",IF(F9=2,"Needs Improvement","Poor")))))</f>
        <v>Excellent</v>
      </c>
    </row>
    <row r="10" spans="1:11" ht="40.200000000000003" thickBot="1" x14ac:dyDescent="0.35">
      <c r="A10" s="115">
        <v>4</v>
      </c>
      <c r="B10" s="134" t="s">
        <v>166</v>
      </c>
      <c r="C10" s="135"/>
      <c r="D10" s="55">
        <v>0.05</v>
      </c>
      <c r="E10" s="54" t="s">
        <v>180</v>
      </c>
      <c r="F10" s="7">
        <v>5</v>
      </c>
      <c r="G10" s="116">
        <f t="shared" si="2"/>
        <v>0.05</v>
      </c>
      <c r="H10" s="115" t="str">
        <f t="shared" si="3"/>
        <v>Excellent</v>
      </c>
    </row>
    <row r="11" spans="1:11" s="114" customFormat="1" ht="27" thickBot="1" x14ac:dyDescent="0.35">
      <c r="A11" s="112">
        <v>5</v>
      </c>
      <c r="B11" s="136" t="s">
        <v>167</v>
      </c>
      <c r="C11" s="137"/>
      <c r="D11" s="53">
        <v>0.04</v>
      </c>
      <c r="E11" s="52" t="s">
        <v>181</v>
      </c>
      <c r="F11" s="7">
        <v>5</v>
      </c>
      <c r="G11" s="113">
        <f t="shared" si="2"/>
        <v>0.04</v>
      </c>
      <c r="H11" s="112" t="str">
        <f t="shared" si="3"/>
        <v>Excellent</v>
      </c>
    </row>
    <row r="12" spans="1:11" ht="37.5" customHeight="1" thickBot="1" x14ac:dyDescent="0.35">
      <c r="A12" s="115">
        <v>6</v>
      </c>
      <c r="B12" s="134" t="s">
        <v>168</v>
      </c>
      <c r="C12" s="135"/>
      <c r="D12" s="55">
        <v>0.03</v>
      </c>
      <c r="E12" s="54" t="s">
        <v>182</v>
      </c>
      <c r="F12" s="7">
        <v>5</v>
      </c>
      <c r="G12" s="116">
        <f t="shared" si="2"/>
        <v>0.03</v>
      </c>
      <c r="H12" s="115" t="str">
        <f t="shared" si="3"/>
        <v>Excellent</v>
      </c>
    </row>
    <row r="13" spans="1:11" s="107" customFormat="1" ht="37.5" customHeight="1" thickBot="1" x14ac:dyDescent="0.35">
      <c r="A13" s="112">
        <v>7</v>
      </c>
      <c r="B13" s="136" t="s">
        <v>169</v>
      </c>
      <c r="C13" s="137"/>
      <c r="D13" s="53">
        <v>0.03</v>
      </c>
      <c r="E13" s="52" t="s">
        <v>183</v>
      </c>
      <c r="F13" s="7">
        <v>5</v>
      </c>
      <c r="G13" s="113">
        <f t="shared" si="2"/>
        <v>0.03</v>
      </c>
      <c r="H13" s="112" t="str">
        <f t="shared" si="3"/>
        <v>Excellent</v>
      </c>
    </row>
    <row r="14" spans="1:11" s="107" customFormat="1" ht="37.5" customHeight="1" thickBot="1" x14ac:dyDescent="0.35">
      <c r="A14" s="115">
        <v>8</v>
      </c>
      <c r="B14" s="134" t="s">
        <v>170</v>
      </c>
      <c r="C14" s="135"/>
      <c r="D14" s="55">
        <v>0.03</v>
      </c>
      <c r="E14" s="54" t="s">
        <v>184</v>
      </c>
      <c r="F14" s="7">
        <v>5</v>
      </c>
      <c r="G14" s="116">
        <f t="shared" si="2"/>
        <v>0.03</v>
      </c>
      <c r="H14" s="115" t="str">
        <f t="shared" si="3"/>
        <v>Excellent</v>
      </c>
    </row>
    <row r="15" spans="1:11" s="107" customFormat="1" ht="37.5" customHeight="1" thickBot="1" x14ac:dyDescent="0.35">
      <c r="A15" s="112">
        <v>9</v>
      </c>
      <c r="B15" s="136" t="s">
        <v>171</v>
      </c>
      <c r="C15" s="137"/>
      <c r="D15" s="53">
        <v>0.03</v>
      </c>
      <c r="E15" s="52" t="s">
        <v>185</v>
      </c>
      <c r="F15" s="7">
        <v>5</v>
      </c>
      <c r="G15" s="113">
        <f t="shared" si="2"/>
        <v>0.03</v>
      </c>
      <c r="H15" s="112" t="str">
        <f t="shared" si="3"/>
        <v>Excellent</v>
      </c>
    </row>
    <row r="16" spans="1:11" ht="37.5" customHeight="1" thickBot="1" x14ac:dyDescent="0.35">
      <c r="A16" s="115">
        <v>10</v>
      </c>
      <c r="B16" s="134" t="s">
        <v>172</v>
      </c>
      <c r="C16" s="135"/>
      <c r="D16" s="55">
        <v>0.03</v>
      </c>
      <c r="E16" s="54" t="s">
        <v>186</v>
      </c>
      <c r="F16" s="7">
        <v>5</v>
      </c>
      <c r="G16" s="116">
        <f t="shared" si="2"/>
        <v>0.03</v>
      </c>
      <c r="H16" s="115" t="str">
        <f t="shared" si="3"/>
        <v>Excellent</v>
      </c>
    </row>
    <row r="17" spans="1:8" ht="37.5" customHeight="1" thickBot="1" x14ac:dyDescent="0.35">
      <c r="A17" s="112">
        <v>11</v>
      </c>
      <c r="B17" s="136" t="s">
        <v>173</v>
      </c>
      <c r="C17" s="137"/>
      <c r="D17" s="53">
        <v>0.02</v>
      </c>
      <c r="E17" s="52" t="s">
        <v>187</v>
      </c>
      <c r="F17" s="7">
        <v>5</v>
      </c>
      <c r="G17" s="113">
        <f t="shared" si="2"/>
        <v>0.02</v>
      </c>
      <c r="H17" s="112" t="str">
        <f t="shared" si="3"/>
        <v>Excellent</v>
      </c>
    </row>
    <row r="18" spans="1:8" ht="37.5" customHeight="1" thickBot="1" x14ac:dyDescent="0.35">
      <c r="A18" s="115">
        <v>12</v>
      </c>
      <c r="B18" s="134" t="s">
        <v>174</v>
      </c>
      <c r="C18" s="135"/>
      <c r="D18" s="55">
        <v>0.03</v>
      </c>
      <c r="E18" s="54" t="s">
        <v>188</v>
      </c>
      <c r="F18" s="7">
        <v>5</v>
      </c>
      <c r="G18" s="116">
        <f t="shared" si="2"/>
        <v>0.03</v>
      </c>
      <c r="H18" s="115" t="str">
        <f t="shared" si="3"/>
        <v>Excellent</v>
      </c>
    </row>
    <row r="19" spans="1:8" ht="37.5" customHeight="1" thickBot="1" x14ac:dyDescent="0.35">
      <c r="A19" s="112">
        <v>13</v>
      </c>
      <c r="B19" s="136" t="s">
        <v>175</v>
      </c>
      <c r="C19" s="137"/>
      <c r="D19" s="53">
        <v>0.03</v>
      </c>
      <c r="E19" s="52" t="s">
        <v>189</v>
      </c>
      <c r="F19" s="7">
        <v>5</v>
      </c>
      <c r="G19" s="113">
        <f t="shared" si="2"/>
        <v>0.03</v>
      </c>
      <c r="H19" s="112" t="str">
        <f t="shared" si="3"/>
        <v>Excellent</v>
      </c>
    </row>
    <row r="20" spans="1:8" ht="37.5" customHeight="1" thickBot="1" x14ac:dyDescent="0.35">
      <c r="A20" s="115">
        <v>14</v>
      </c>
      <c r="B20" s="134" t="s">
        <v>176</v>
      </c>
      <c r="C20" s="135"/>
      <c r="D20" s="55">
        <v>0.02</v>
      </c>
      <c r="E20" s="54" t="s">
        <v>190</v>
      </c>
      <c r="F20" s="7">
        <v>5</v>
      </c>
      <c r="G20" s="116">
        <f t="shared" si="2"/>
        <v>0.02</v>
      </c>
      <c r="H20" s="115" t="str">
        <f t="shared" si="3"/>
        <v>Excellent</v>
      </c>
    </row>
    <row r="21" spans="1:8" ht="37.5" customHeight="1" thickBot="1" x14ac:dyDescent="0.35">
      <c r="A21" s="112">
        <v>15</v>
      </c>
      <c r="B21" s="136" t="s">
        <v>62</v>
      </c>
      <c r="C21" s="137"/>
      <c r="D21" s="53">
        <v>0.01</v>
      </c>
      <c r="E21" s="52" t="s">
        <v>160</v>
      </c>
      <c r="F21" s="7">
        <v>5</v>
      </c>
      <c r="G21" s="113">
        <f t="shared" si="2"/>
        <v>0.01</v>
      </c>
      <c r="H21" s="112" t="str">
        <f t="shared" si="3"/>
        <v>Excellent</v>
      </c>
    </row>
    <row r="22" spans="1:8" ht="37.5" customHeight="1" thickBot="1" x14ac:dyDescent="0.35">
      <c r="A22" s="115">
        <v>16</v>
      </c>
      <c r="B22" s="134" t="s">
        <v>96</v>
      </c>
      <c r="C22" s="135"/>
      <c r="D22" s="55">
        <v>0.02</v>
      </c>
      <c r="E22" s="54" t="s">
        <v>142</v>
      </c>
      <c r="F22" s="7">
        <v>5</v>
      </c>
      <c r="G22" s="116">
        <f t="shared" si="2"/>
        <v>0.02</v>
      </c>
      <c r="H22" s="115" t="str">
        <f t="shared" si="3"/>
        <v>Excellent</v>
      </c>
    </row>
    <row r="23" spans="1:8" ht="40.200000000000003" thickBot="1" x14ac:dyDescent="0.35">
      <c r="A23" s="112">
        <v>17</v>
      </c>
      <c r="B23" s="150" t="s">
        <v>63</v>
      </c>
      <c r="C23" s="151"/>
      <c r="D23" s="117">
        <v>0.01</v>
      </c>
      <c r="E23" s="118" t="s">
        <v>66</v>
      </c>
      <c r="F23" s="7">
        <v>5</v>
      </c>
      <c r="G23" s="113">
        <f t="shared" si="2"/>
        <v>0.01</v>
      </c>
      <c r="H23" s="112" t="str">
        <f t="shared" si="3"/>
        <v>Excellent</v>
      </c>
    </row>
    <row r="24" spans="1:8" ht="24" customHeight="1" thickBot="1" x14ac:dyDescent="0.35">
      <c r="A24" s="146" t="s">
        <v>2</v>
      </c>
      <c r="B24" s="146"/>
      <c r="C24" s="1"/>
      <c r="D24" s="4">
        <f>SUM(D7:D23)</f>
        <v>0.50000000000000022</v>
      </c>
      <c r="E24" s="29"/>
      <c r="F24" s="1">
        <f>SUM(F7:F23)</f>
        <v>85</v>
      </c>
      <c r="G24" s="13">
        <f>IFERROR(SUM(G7:G23),"")</f>
        <v>0.50000000000000022</v>
      </c>
      <c r="H24" s="1"/>
    </row>
    <row r="25" spans="1:8" ht="25.5" customHeight="1" thickBot="1" x14ac:dyDescent="0.35">
      <c r="A25" s="147" t="s">
        <v>8</v>
      </c>
      <c r="B25" s="147"/>
      <c r="C25" s="147"/>
      <c r="D25" s="147"/>
      <c r="E25" s="147"/>
      <c r="F25" s="147"/>
      <c r="G25" s="14">
        <f>IFERROR(G24/0.5*100,"")</f>
        <v>100.00000000000004</v>
      </c>
      <c r="H25" s="15" t="str">
        <f>IFERROR(IF(G25&gt;=90,"Excellent",IF(G25&gt;=80,"Very Good",IF(G25&gt;=70,"Good",IF(G25&gt;=60,"Needs Improvement","Unsatisfactory")))),"—")</f>
        <v>Excellent</v>
      </c>
    </row>
    <row r="26" spans="1:8" ht="15.6" x14ac:dyDescent="0.3">
      <c r="A26" s="41"/>
      <c r="B26" s="41"/>
      <c r="C26" s="41"/>
      <c r="D26" s="41"/>
      <c r="E26" s="41"/>
      <c r="F26" s="42"/>
      <c r="G26" s="43"/>
      <c r="H26" s="44"/>
    </row>
    <row r="27" spans="1:8" ht="18" customHeight="1" x14ac:dyDescent="0.3">
      <c r="A27" s="38" t="s">
        <v>25</v>
      </c>
      <c r="B27" s="38"/>
      <c r="C27" s="38"/>
      <c r="D27" s="38"/>
      <c r="E27" s="38"/>
      <c r="F27" s="39"/>
      <c r="G27" s="38"/>
      <c r="H27" s="38"/>
    </row>
    <row r="28" spans="1:8" ht="18" customHeight="1" x14ac:dyDescent="0.3">
      <c r="A28" s="49"/>
      <c r="B28" s="47" t="s">
        <v>26</v>
      </c>
      <c r="C28" s="47"/>
      <c r="D28" s="39"/>
      <c r="E28" s="39"/>
      <c r="F28" s="39"/>
      <c r="G28" s="39"/>
      <c r="H28" s="39"/>
    </row>
    <row r="29" spans="1:8" ht="18" customHeight="1" x14ac:dyDescent="0.3">
      <c r="A29" s="50"/>
      <c r="B29" s="48" t="s">
        <v>27</v>
      </c>
      <c r="C29" s="48"/>
      <c r="D29" s="40"/>
      <c r="E29" s="40"/>
      <c r="F29" s="39"/>
      <c r="G29" s="40"/>
      <c r="H29" s="40"/>
    </row>
    <row r="30" spans="1:8" ht="18" customHeight="1" x14ac:dyDescent="0.3">
      <c r="A30" s="51"/>
      <c r="B30" s="46" t="s">
        <v>28</v>
      </c>
      <c r="C30" s="46"/>
      <c r="D30" s="37"/>
      <c r="E30" s="37"/>
      <c r="F30" s="39"/>
      <c r="G30" s="37"/>
      <c r="H30" s="37"/>
    </row>
    <row r="31" spans="1:8" ht="18" customHeight="1" x14ac:dyDescent="0.3">
      <c r="A31" s="51"/>
      <c r="B31" s="45" t="s">
        <v>29</v>
      </c>
      <c r="C31" s="45"/>
      <c r="D31" s="37"/>
      <c r="E31" s="37"/>
      <c r="F31" s="37"/>
      <c r="G31" s="37"/>
      <c r="H31" s="37"/>
    </row>
    <row r="32" spans="1:8" ht="18" customHeight="1" x14ac:dyDescent="0.3">
      <c r="A32" s="37"/>
      <c r="B32" s="37"/>
      <c r="C32" s="37"/>
      <c r="D32" s="37"/>
      <c r="E32" s="37"/>
      <c r="F32" s="37"/>
      <c r="G32" s="37"/>
      <c r="H32" s="37"/>
    </row>
    <row r="33" spans="1:8" ht="19.5" customHeight="1" x14ac:dyDescent="0.3">
      <c r="A33" s="138" t="s">
        <v>9</v>
      </c>
      <c r="B33" s="139"/>
      <c r="C33" s="139"/>
      <c r="D33" s="139"/>
      <c r="E33" s="139"/>
      <c r="F33" s="139"/>
      <c r="G33" s="139"/>
      <c r="H33" s="140"/>
    </row>
    <row r="34" spans="1:8" ht="19.5" customHeight="1" x14ac:dyDescent="0.3">
      <c r="A34" s="139"/>
      <c r="B34" s="139"/>
      <c r="C34" s="139"/>
      <c r="D34" s="139"/>
      <c r="E34" s="139"/>
      <c r="F34" s="139"/>
      <c r="G34" s="139"/>
      <c r="H34" s="140"/>
    </row>
    <row r="35" spans="1:8" ht="19.5" customHeight="1" x14ac:dyDescent="0.3">
      <c r="A35" s="139"/>
      <c r="B35" s="139"/>
      <c r="C35" s="139"/>
      <c r="D35" s="139"/>
      <c r="E35" s="139"/>
      <c r="F35" s="139"/>
      <c r="G35" s="139"/>
      <c r="H35" s="140"/>
    </row>
    <row r="36" spans="1:8" ht="19.5" customHeight="1" x14ac:dyDescent="0.3">
      <c r="A36" s="141"/>
      <c r="B36" s="141"/>
      <c r="C36" s="141"/>
      <c r="D36" s="141"/>
      <c r="E36" s="141"/>
      <c r="F36" s="141"/>
      <c r="G36" s="141"/>
      <c r="H36" s="142"/>
    </row>
  </sheetData>
  <mergeCells count="23">
    <mergeCell ref="A33:H36"/>
    <mergeCell ref="A1:H1"/>
    <mergeCell ref="A5:H5"/>
    <mergeCell ref="A24:B24"/>
    <mergeCell ref="A25:F25"/>
    <mergeCell ref="B6:C6"/>
    <mergeCell ref="B7:C7"/>
    <mergeCell ref="B10:C10"/>
    <mergeCell ref="B11:C11"/>
    <mergeCell ref="B12:C12"/>
    <mergeCell ref="B13:C13"/>
    <mergeCell ref="B14:C14"/>
    <mergeCell ref="B17:C17"/>
    <mergeCell ref="B18:C18"/>
    <mergeCell ref="B22:C22"/>
    <mergeCell ref="B23:C23"/>
    <mergeCell ref="B8:C8"/>
    <mergeCell ref="B9:C9"/>
    <mergeCell ref="B19:C19"/>
    <mergeCell ref="B21:C21"/>
    <mergeCell ref="B15:C15"/>
    <mergeCell ref="B16:C16"/>
    <mergeCell ref="B20:C20"/>
  </mergeCells>
  <printOptions horizontalCentered="1"/>
  <pageMargins left="0.25" right="0.25" top="0.5" bottom="0.2" header="0.261811024" footer="0.261811024"/>
  <pageSetup paperSize="9" scale="8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601980</xdr:colOff>
                    <xdr:row>27</xdr:row>
                    <xdr:rowOff>15240</xdr:rowOff>
                  </from>
                  <to>
                    <xdr:col>1</xdr:col>
                    <xdr:colOff>0</xdr:colOff>
                    <xdr:row>27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0</xdr:col>
                    <xdr:colOff>601980</xdr:colOff>
                    <xdr:row>28</xdr:row>
                    <xdr:rowOff>15240</xdr:rowOff>
                  </from>
                  <to>
                    <xdr:col>1</xdr:col>
                    <xdr:colOff>0</xdr:colOff>
                    <xdr:row>28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0</xdr:col>
                    <xdr:colOff>601980</xdr:colOff>
                    <xdr:row>29</xdr:row>
                    <xdr:rowOff>15240</xdr:rowOff>
                  </from>
                  <to>
                    <xdr:col>1</xdr:col>
                    <xdr:colOff>0</xdr:colOff>
                    <xdr:row>29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0</xdr:col>
                    <xdr:colOff>601980</xdr:colOff>
                    <xdr:row>30</xdr:row>
                    <xdr:rowOff>15240</xdr:rowOff>
                  </from>
                  <to>
                    <xdr:col>1</xdr:col>
                    <xdr:colOff>0</xdr:colOff>
                    <xdr:row>30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9"/>
  <sheetViews>
    <sheetView tabSelected="1" view="pageBreakPreview" zoomScaleNormal="100" zoomScaleSheetLayoutView="100" workbookViewId="0">
      <selection activeCell="F21" sqref="F21"/>
    </sheetView>
  </sheetViews>
  <sheetFormatPr defaultColWidth="8.77734375" defaultRowHeight="14.4" x14ac:dyDescent="0.3"/>
  <cols>
    <col min="1" max="1" width="12.5546875" customWidth="1"/>
    <col min="2" max="2" width="18.5546875" customWidth="1"/>
    <col min="3" max="3" width="22.21875" customWidth="1"/>
    <col min="4" max="4" width="13.6640625" customWidth="1"/>
    <col min="5" max="5" width="49.21875" hidden="1" customWidth="1"/>
    <col min="6" max="6" width="11" customWidth="1"/>
    <col min="7" max="7" width="17.5546875" customWidth="1"/>
    <col min="8" max="8" width="20" customWidth="1"/>
  </cols>
  <sheetData>
    <row r="1" spans="1:8" ht="33.450000000000003" customHeight="1" thickBot="1" x14ac:dyDescent="0.35">
      <c r="A1" s="154" t="s">
        <v>159</v>
      </c>
      <c r="B1" s="154"/>
      <c r="C1" s="154"/>
      <c r="D1" s="154"/>
      <c r="E1" s="154"/>
      <c r="F1" s="154"/>
      <c r="G1" s="154"/>
      <c r="H1" s="154"/>
    </row>
    <row r="2" spans="1:8" ht="15.75" customHeight="1" x14ac:dyDescent="0.3">
      <c r="A2" s="33" t="s">
        <v>17</v>
      </c>
      <c r="B2" s="62" t="str">
        <f>'Top Sheet'!B11</f>
        <v>Navid Anjum Shuvro</v>
      </c>
      <c r="C2" s="31"/>
      <c r="D2" s="33" t="s">
        <v>21</v>
      </c>
      <c r="E2" s="31"/>
      <c r="F2" s="62">
        <f>'Top Sheet'!B12</f>
        <v>8365</v>
      </c>
      <c r="G2" s="34" t="s">
        <v>19</v>
      </c>
      <c r="H2" s="31" t="str">
        <f>'Top Sheet'!D12</f>
        <v>Band 11</v>
      </c>
    </row>
    <row r="3" spans="1:8" ht="15.75" customHeight="1" x14ac:dyDescent="0.3">
      <c r="A3" s="32" t="s">
        <v>18</v>
      </c>
      <c r="B3" s="62" t="str">
        <f>'Top Sheet'!D11</f>
        <v>SOFTWARE DEVELOPMENT SPECIALIST</v>
      </c>
      <c r="C3" s="62"/>
      <c r="D3" s="33" t="s">
        <v>20</v>
      </c>
      <c r="E3" s="31"/>
      <c r="F3" s="62" t="str">
        <f>'Top Sheet'!E9</f>
        <v>2025-2026</v>
      </c>
      <c r="G3" s="35" t="s">
        <v>23</v>
      </c>
      <c r="H3" s="31">
        <f>'Top Sheet'!B13</f>
        <v>72000</v>
      </c>
    </row>
    <row r="4" spans="1:8" ht="15.75" customHeight="1" x14ac:dyDescent="0.3">
      <c r="A4" s="32" t="s">
        <v>30</v>
      </c>
      <c r="B4" s="60">
        <f>'Top Sheet'!D13</f>
        <v>45292</v>
      </c>
      <c r="C4" s="62"/>
      <c r="D4" s="33" t="s">
        <v>24</v>
      </c>
      <c r="E4" s="31"/>
      <c r="F4" s="62" t="str">
        <f>'Top Sheet'!D14</f>
        <v>2 Y 5 M 21 D</v>
      </c>
      <c r="G4" s="56" t="s">
        <v>31</v>
      </c>
      <c r="H4" s="58" t="str">
        <f>IF(C22="","",H3+C22)</f>
        <v/>
      </c>
    </row>
    <row r="5" spans="1:8" ht="15.75" customHeight="1" thickBot="1" x14ac:dyDescent="0.35">
      <c r="A5" s="145" t="s">
        <v>3</v>
      </c>
      <c r="B5" s="145"/>
      <c r="C5" s="145"/>
      <c r="D5" s="145"/>
      <c r="E5" s="145"/>
      <c r="F5" s="145"/>
      <c r="G5" s="145"/>
      <c r="H5" s="145"/>
    </row>
    <row r="6" spans="1:8" ht="30" customHeight="1" thickBot="1" x14ac:dyDescent="0.35">
      <c r="A6" s="16" t="s">
        <v>4</v>
      </c>
      <c r="B6" s="152" t="s">
        <v>5</v>
      </c>
      <c r="C6" s="153"/>
      <c r="D6" s="16" t="s">
        <v>0</v>
      </c>
      <c r="E6" s="16" t="s">
        <v>16</v>
      </c>
      <c r="F6" s="16" t="s">
        <v>6</v>
      </c>
      <c r="G6" s="16" t="s">
        <v>1</v>
      </c>
      <c r="H6" s="16" t="s">
        <v>7</v>
      </c>
    </row>
    <row r="7" spans="1:8" ht="40.200000000000003" thickBot="1" x14ac:dyDescent="0.35">
      <c r="A7" s="3">
        <v>1</v>
      </c>
      <c r="B7" s="136" t="s">
        <v>68</v>
      </c>
      <c r="C7" s="137"/>
      <c r="D7" s="53">
        <v>0.05</v>
      </c>
      <c r="E7" s="52" t="s">
        <v>69</v>
      </c>
      <c r="F7" s="7">
        <v>5</v>
      </c>
      <c r="G7" s="8">
        <f t="shared" ref="G7:G8" si="0">IF(F7="","",(F7/5)*D7)</f>
        <v>0.05</v>
      </c>
      <c r="H7" s="3" t="str">
        <f t="shared" ref="H7:H8" si="1">IF(F7="","—",IF(F7=5,"Excellent",IF(F7=4,"Very Good",IF(F7=3,"Good",IF(F7=2,"Needs Improvement","Poor")))))</f>
        <v>Excellent</v>
      </c>
    </row>
    <row r="8" spans="1:8" ht="27" thickBot="1" x14ac:dyDescent="0.35">
      <c r="A8" s="9">
        <v>2</v>
      </c>
      <c r="B8" s="134" t="s">
        <v>10</v>
      </c>
      <c r="C8" s="135"/>
      <c r="D8" s="55">
        <v>0.04</v>
      </c>
      <c r="E8" s="54" t="s">
        <v>70</v>
      </c>
      <c r="F8" s="7">
        <v>5</v>
      </c>
      <c r="G8" s="12">
        <f t="shared" si="0"/>
        <v>0.04</v>
      </c>
      <c r="H8" s="9" t="str">
        <f t="shared" si="1"/>
        <v>Excellent</v>
      </c>
    </row>
    <row r="9" spans="1:8" ht="27" thickBot="1" x14ac:dyDescent="0.35">
      <c r="A9" s="3">
        <v>3</v>
      </c>
      <c r="B9" s="136" t="s">
        <v>144</v>
      </c>
      <c r="C9" s="137"/>
      <c r="D9" s="53">
        <v>0.04</v>
      </c>
      <c r="E9" s="52" t="s">
        <v>145</v>
      </c>
      <c r="F9" s="7">
        <v>5</v>
      </c>
      <c r="G9" s="8">
        <f t="shared" ref="G9:G16" si="2">IF(F9="","",(F9/5)*D9)</f>
        <v>0.04</v>
      </c>
      <c r="H9" s="3" t="str">
        <f t="shared" ref="H9:H16" si="3">IF(F9="","—",IF(F9=5,"Excellent",IF(F9=4,"Very Good",IF(F9=3,"Good",IF(F9=2,"Needs Improvement","Poor")))))</f>
        <v>Excellent</v>
      </c>
    </row>
    <row r="10" spans="1:8" ht="27" thickBot="1" x14ac:dyDescent="0.35">
      <c r="A10" s="9">
        <v>4</v>
      </c>
      <c r="B10" s="134" t="s">
        <v>146</v>
      </c>
      <c r="C10" s="135"/>
      <c r="D10" s="55">
        <v>0.03</v>
      </c>
      <c r="E10" s="54" t="s">
        <v>147</v>
      </c>
      <c r="F10" s="7">
        <v>5</v>
      </c>
      <c r="G10" s="12">
        <f t="shared" si="2"/>
        <v>0.03</v>
      </c>
      <c r="H10" s="9" t="str">
        <f t="shared" si="3"/>
        <v>Excellent</v>
      </c>
    </row>
    <row r="11" spans="1:8" ht="27" thickBot="1" x14ac:dyDescent="0.35">
      <c r="A11" s="3">
        <v>5</v>
      </c>
      <c r="B11" s="136" t="s">
        <v>148</v>
      </c>
      <c r="C11" s="137"/>
      <c r="D11" s="53">
        <v>0.02</v>
      </c>
      <c r="E11" s="52" t="s">
        <v>149</v>
      </c>
      <c r="F11" s="7">
        <v>5</v>
      </c>
      <c r="G11" s="8">
        <f t="shared" si="2"/>
        <v>0.02</v>
      </c>
      <c r="H11" s="3" t="str">
        <f t="shared" si="3"/>
        <v>Excellent</v>
      </c>
    </row>
    <row r="12" spans="1:8" ht="40.200000000000003" thickBot="1" x14ac:dyDescent="0.35">
      <c r="A12" s="9">
        <v>6</v>
      </c>
      <c r="B12" s="134" t="s">
        <v>11</v>
      </c>
      <c r="C12" s="135"/>
      <c r="D12" s="55">
        <v>0.03</v>
      </c>
      <c r="E12" s="54" t="s">
        <v>150</v>
      </c>
      <c r="F12" s="7">
        <v>5</v>
      </c>
      <c r="G12" s="12">
        <f t="shared" si="2"/>
        <v>0.03</v>
      </c>
      <c r="H12" s="9" t="str">
        <f t="shared" si="3"/>
        <v>Excellent</v>
      </c>
    </row>
    <row r="13" spans="1:8" ht="40.200000000000003" thickBot="1" x14ac:dyDescent="0.35">
      <c r="A13" s="3">
        <v>7</v>
      </c>
      <c r="B13" s="136" t="s">
        <v>151</v>
      </c>
      <c r="C13" s="137"/>
      <c r="D13" s="53">
        <v>0.02</v>
      </c>
      <c r="E13" s="52" t="s">
        <v>152</v>
      </c>
      <c r="F13" s="7">
        <v>5</v>
      </c>
      <c r="G13" s="8">
        <f t="shared" si="2"/>
        <v>0.02</v>
      </c>
      <c r="H13" s="3" t="str">
        <f t="shared" si="3"/>
        <v>Excellent</v>
      </c>
    </row>
    <row r="14" spans="1:8" ht="40.200000000000003" thickBot="1" x14ac:dyDescent="0.35">
      <c r="A14" s="9">
        <v>8</v>
      </c>
      <c r="B14" s="134" t="s">
        <v>98</v>
      </c>
      <c r="C14" s="135"/>
      <c r="D14" s="55">
        <v>0.03</v>
      </c>
      <c r="E14" s="54" t="s">
        <v>153</v>
      </c>
      <c r="F14" s="7">
        <v>5</v>
      </c>
      <c r="G14" s="12">
        <f t="shared" si="2"/>
        <v>0.03</v>
      </c>
      <c r="H14" s="9" t="str">
        <f t="shared" si="3"/>
        <v>Excellent</v>
      </c>
    </row>
    <row r="15" spans="1:8" ht="26.4" x14ac:dyDescent="0.3">
      <c r="A15" s="3">
        <v>9</v>
      </c>
      <c r="B15" s="136" t="s">
        <v>154</v>
      </c>
      <c r="C15" s="137"/>
      <c r="D15" s="53">
        <v>0.02</v>
      </c>
      <c r="E15" s="52" t="s">
        <v>155</v>
      </c>
      <c r="F15" s="7">
        <v>5</v>
      </c>
      <c r="G15" s="8">
        <f t="shared" si="2"/>
        <v>0.02</v>
      </c>
      <c r="H15" s="3" t="str">
        <f t="shared" si="3"/>
        <v>Excellent</v>
      </c>
    </row>
    <row r="16" spans="1:8" ht="29.55" customHeight="1" x14ac:dyDescent="0.3">
      <c r="A16" s="9">
        <v>10</v>
      </c>
      <c r="B16" s="134" t="s">
        <v>156</v>
      </c>
      <c r="C16" s="135"/>
      <c r="D16" s="55">
        <v>0.02</v>
      </c>
      <c r="E16" s="54" t="s">
        <v>157</v>
      </c>
      <c r="F16" s="7">
        <v>5</v>
      </c>
      <c r="G16" s="12">
        <f t="shared" si="2"/>
        <v>0.02</v>
      </c>
      <c r="H16" s="9" t="str">
        <f t="shared" si="3"/>
        <v>Excellent</v>
      </c>
    </row>
    <row r="17" spans="1:8" ht="24" customHeight="1" thickBot="1" x14ac:dyDescent="0.35">
      <c r="A17" s="155" t="s">
        <v>2</v>
      </c>
      <c r="B17" s="155"/>
      <c r="C17" s="17"/>
      <c r="D17" s="18">
        <f>SUM(D7:D16)</f>
        <v>0.30000000000000004</v>
      </c>
      <c r="E17" s="18"/>
      <c r="F17" s="17">
        <f>SUM(F7:F16)</f>
        <v>50</v>
      </c>
      <c r="G17" s="19">
        <f>IFERROR(SUM(G7:G16),"")</f>
        <v>0.30000000000000004</v>
      </c>
      <c r="H17" s="17"/>
    </row>
    <row r="18" spans="1:8" ht="25.5" customHeight="1" thickBot="1" x14ac:dyDescent="0.35">
      <c r="A18" s="156" t="s">
        <v>12</v>
      </c>
      <c r="B18" s="156"/>
      <c r="C18" s="156"/>
      <c r="D18" s="156"/>
      <c r="E18" s="156"/>
      <c r="F18" s="156"/>
      <c r="G18" s="20">
        <f>IFERROR(G17/0.3*100,"")</f>
        <v>100.00000000000003</v>
      </c>
      <c r="H18" s="21" t="str">
        <f>IFERROR(IF(G18&gt;=90,"Excellent",IF(G18&gt;=80,"Very Good",IF(G18&gt;=70,"Good",IF(G18&gt;=60,"Needs Improvement","Unsatisfactory")))),"—")</f>
        <v>Excellent</v>
      </c>
    </row>
    <row r="19" spans="1:8" ht="15.6" x14ac:dyDescent="0.3">
      <c r="A19" s="41"/>
      <c r="B19" s="41"/>
      <c r="C19" s="41"/>
      <c r="D19" s="41"/>
      <c r="E19" s="41"/>
      <c r="F19" s="42"/>
      <c r="G19" s="43"/>
      <c r="H19" s="44"/>
    </row>
    <row r="20" spans="1:8" ht="18" customHeight="1" x14ac:dyDescent="0.3">
      <c r="A20" s="38" t="s">
        <v>25</v>
      </c>
      <c r="B20" s="38"/>
      <c r="C20" s="38"/>
      <c r="D20" s="38"/>
      <c r="E20" s="38"/>
      <c r="F20" s="39"/>
      <c r="G20" s="38"/>
      <c r="H20" s="38"/>
    </row>
    <row r="21" spans="1:8" ht="18" customHeight="1" x14ac:dyDescent="0.3">
      <c r="A21" s="49"/>
      <c r="B21" s="47" t="s">
        <v>26</v>
      </c>
      <c r="C21" s="47"/>
      <c r="D21" s="39"/>
      <c r="E21" s="39"/>
      <c r="F21" s="39" t="s">
        <v>161</v>
      </c>
      <c r="H21" s="39">
        <v>16</v>
      </c>
    </row>
    <row r="22" spans="1:8" ht="18" customHeight="1" x14ac:dyDescent="0.3">
      <c r="A22" s="50"/>
      <c r="B22" s="48" t="s">
        <v>27</v>
      </c>
      <c r="C22" s="48"/>
      <c r="D22" s="40"/>
      <c r="E22" s="40"/>
      <c r="F22" s="39"/>
      <c r="G22" s="40"/>
      <c r="H22" s="40"/>
    </row>
    <row r="23" spans="1:8" ht="18" customHeight="1" x14ac:dyDescent="0.3">
      <c r="A23" s="51"/>
      <c r="B23" s="46" t="s">
        <v>28</v>
      </c>
      <c r="C23" s="46"/>
      <c r="D23" s="37"/>
      <c r="E23" s="37"/>
      <c r="F23" s="39"/>
      <c r="G23" s="37"/>
      <c r="H23" s="37"/>
    </row>
    <row r="24" spans="1:8" ht="18" customHeight="1" x14ac:dyDescent="0.3">
      <c r="A24" s="51"/>
      <c r="B24" s="45" t="s">
        <v>29</v>
      </c>
      <c r="C24" s="45"/>
      <c r="D24" s="37"/>
      <c r="E24" s="37"/>
      <c r="F24" s="37"/>
      <c r="G24" s="37"/>
      <c r="H24" s="37"/>
    </row>
    <row r="25" spans="1:8" ht="18" customHeight="1" x14ac:dyDescent="0.3">
      <c r="A25" s="37"/>
      <c r="B25" s="37"/>
      <c r="C25" s="37"/>
      <c r="D25" s="37"/>
      <c r="E25" s="37"/>
      <c r="F25" s="37"/>
      <c r="G25" s="37"/>
      <c r="H25" s="37"/>
    </row>
    <row r="26" spans="1:8" ht="19.5" customHeight="1" x14ac:dyDescent="0.3">
      <c r="A26" s="138" t="s">
        <v>13</v>
      </c>
      <c r="B26" s="139"/>
      <c r="C26" s="139"/>
      <c r="D26" s="139"/>
      <c r="E26" s="139"/>
      <c r="F26" s="139"/>
      <c r="G26" s="139"/>
      <c r="H26" s="140"/>
    </row>
    <row r="27" spans="1:8" ht="19.5" customHeight="1" x14ac:dyDescent="0.3">
      <c r="A27" s="139"/>
      <c r="B27" s="139"/>
      <c r="C27" s="139"/>
      <c r="D27" s="139"/>
      <c r="E27" s="139"/>
      <c r="F27" s="139"/>
      <c r="G27" s="139"/>
      <c r="H27" s="140"/>
    </row>
    <row r="28" spans="1:8" ht="19.5" customHeight="1" x14ac:dyDescent="0.3">
      <c r="A28" s="139"/>
      <c r="B28" s="139"/>
      <c r="C28" s="139"/>
      <c r="D28" s="139"/>
      <c r="E28" s="139"/>
      <c r="F28" s="139"/>
      <c r="G28" s="139"/>
      <c r="H28" s="140"/>
    </row>
    <row r="29" spans="1:8" ht="19.5" customHeight="1" x14ac:dyDescent="0.3">
      <c r="A29" s="141"/>
      <c r="B29" s="141"/>
      <c r="C29" s="141"/>
      <c r="D29" s="141"/>
      <c r="E29" s="141"/>
      <c r="F29" s="141"/>
      <c r="G29" s="141"/>
      <c r="H29" s="142"/>
    </row>
  </sheetData>
  <mergeCells count="16">
    <mergeCell ref="A26:H29"/>
    <mergeCell ref="B7:C7"/>
    <mergeCell ref="B8:C8"/>
    <mergeCell ref="B9:C9"/>
    <mergeCell ref="B10:C10"/>
    <mergeCell ref="B11:C11"/>
    <mergeCell ref="B14:C14"/>
    <mergeCell ref="B15:C15"/>
    <mergeCell ref="B16:C16"/>
    <mergeCell ref="B6:C6"/>
    <mergeCell ref="A1:H1"/>
    <mergeCell ref="A5:H5"/>
    <mergeCell ref="A17:B17"/>
    <mergeCell ref="A18:F18"/>
    <mergeCell ref="B12:C12"/>
    <mergeCell ref="B13:C13"/>
  </mergeCells>
  <printOptions horizontalCentered="1"/>
  <pageMargins left="0.25" right="0.25" top="0.5" bottom="0.25" header="0.261811024" footer="0.261811024"/>
  <pageSetup paperSize="9" scale="8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0</xdr:col>
                    <xdr:colOff>601980</xdr:colOff>
                    <xdr:row>20</xdr:row>
                    <xdr:rowOff>15240</xdr:rowOff>
                  </from>
                  <to>
                    <xdr:col>1</xdr:col>
                    <xdr:colOff>22860</xdr:colOff>
                    <xdr:row>20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0</xdr:col>
                    <xdr:colOff>601980</xdr:colOff>
                    <xdr:row>21</xdr:row>
                    <xdr:rowOff>15240</xdr:rowOff>
                  </from>
                  <to>
                    <xdr:col>1</xdr:col>
                    <xdr:colOff>22860</xdr:colOff>
                    <xdr:row>21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0</xdr:col>
                    <xdr:colOff>601980</xdr:colOff>
                    <xdr:row>22</xdr:row>
                    <xdr:rowOff>15240</xdr:rowOff>
                  </from>
                  <to>
                    <xdr:col>1</xdr:col>
                    <xdr:colOff>22860</xdr:colOff>
                    <xdr:row>22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0</xdr:col>
                    <xdr:colOff>601980</xdr:colOff>
                    <xdr:row>23</xdr:row>
                    <xdr:rowOff>15240</xdr:rowOff>
                  </from>
                  <to>
                    <xdr:col>1</xdr:col>
                    <xdr:colOff>22860</xdr:colOff>
                    <xdr:row>23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H29"/>
  <sheetViews>
    <sheetView view="pageBreakPreview" zoomScaleNormal="100" zoomScaleSheetLayoutView="100" workbookViewId="0">
      <selection activeCell="G20" sqref="G20"/>
    </sheetView>
  </sheetViews>
  <sheetFormatPr defaultColWidth="8.77734375" defaultRowHeight="14.4" x14ac:dyDescent="0.3"/>
  <cols>
    <col min="1" max="1" width="12.44140625" customWidth="1"/>
    <col min="2" max="2" width="20.77734375" customWidth="1"/>
    <col min="3" max="3" width="25.21875" customWidth="1"/>
    <col min="4" max="4" width="13.5546875" customWidth="1"/>
    <col min="5" max="5" width="44.5546875" hidden="1" customWidth="1"/>
    <col min="6" max="6" width="11" customWidth="1"/>
    <col min="7" max="7" width="17.21875" customWidth="1"/>
    <col min="8" max="8" width="20" customWidth="1"/>
  </cols>
  <sheetData>
    <row r="1" spans="1:8" ht="27.75" customHeight="1" thickBot="1" x14ac:dyDescent="0.35">
      <c r="A1" s="159" t="s">
        <v>158</v>
      </c>
      <c r="B1" s="159"/>
      <c r="C1" s="159"/>
      <c r="D1" s="159"/>
      <c r="E1" s="159"/>
      <c r="F1" s="159"/>
      <c r="G1" s="159"/>
      <c r="H1" s="159"/>
    </row>
    <row r="2" spans="1:8" ht="15.75" customHeight="1" x14ac:dyDescent="0.3">
      <c r="A2" s="33" t="s">
        <v>17</v>
      </c>
      <c r="B2" s="62" t="str">
        <f>'Top Sheet'!B11</f>
        <v>Navid Anjum Shuvro</v>
      </c>
      <c r="C2" s="62"/>
      <c r="D2" s="33" t="s">
        <v>21</v>
      </c>
      <c r="E2" s="31"/>
      <c r="F2" s="62">
        <f>'Top Sheet'!B12</f>
        <v>8365</v>
      </c>
      <c r="G2" s="34" t="s">
        <v>19</v>
      </c>
      <c r="H2" s="62" t="str">
        <f>'Top Sheet'!D12</f>
        <v>Band 11</v>
      </c>
    </row>
    <row r="3" spans="1:8" ht="15.75" customHeight="1" x14ac:dyDescent="0.3">
      <c r="A3" s="32" t="s">
        <v>18</v>
      </c>
      <c r="B3" s="62" t="str">
        <f>'Top Sheet'!D11</f>
        <v>SOFTWARE DEVELOPMENT SPECIALIST</v>
      </c>
      <c r="C3" s="62"/>
      <c r="D3" s="33" t="s">
        <v>20</v>
      </c>
      <c r="E3" s="31"/>
      <c r="F3" s="62" t="str">
        <f>'Top Sheet'!E9</f>
        <v>2025-2026</v>
      </c>
      <c r="G3" s="35" t="s">
        <v>23</v>
      </c>
      <c r="H3" s="62">
        <f>'Top Sheet'!B13</f>
        <v>72000</v>
      </c>
    </row>
    <row r="4" spans="1:8" ht="15.75" customHeight="1" x14ac:dyDescent="0.3">
      <c r="A4" s="32" t="s">
        <v>30</v>
      </c>
      <c r="B4" s="63">
        <f>'Top Sheet'!D13</f>
        <v>45292</v>
      </c>
      <c r="C4" s="62"/>
      <c r="D4" s="33" t="s">
        <v>24</v>
      </c>
      <c r="E4" s="31"/>
      <c r="F4" s="62" t="str">
        <f>'Top Sheet'!D14</f>
        <v>2 Y 5 M 21 D</v>
      </c>
      <c r="G4" s="56" t="s">
        <v>31</v>
      </c>
      <c r="H4" s="64" t="str">
        <f>IF(C22="","",H3+C22)</f>
        <v/>
      </c>
    </row>
    <row r="5" spans="1:8" ht="15.75" customHeight="1" thickBot="1" x14ac:dyDescent="0.35">
      <c r="A5" s="145" t="s">
        <v>3</v>
      </c>
      <c r="B5" s="145"/>
      <c r="C5" s="145"/>
      <c r="D5" s="145"/>
      <c r="E5" s="145"/>
      <c r="F5" s="145"/>
      <c r="G5" s="145"/>
      <c r="H5" s="145"/>
    </row>
    <row r="6" spans="1:8" ht="30" customHeight="1" thickBot="1" x14ac:dyDescent="0.35">
      <c r="A6" s="22" t="s">
        <v>4</v>
      </c>
      <c r="B6" s="157" t="s">
        <v>5</v>
      </c>
      <c r="C6" s="158"/>
      <c r="D6" s="22" t="s">
        <v>0</v>
      </c>
      <c r="E6" s="22" t="s">
        <v>16</v>
      </c>
      <c r="F6" s="22" t="s">
        <v>6</v>
      </c>
      <c r="G6" s="22" t="s">
        <v>1</v>
      </c>
      <c r="H6" s="22" t="s">
        <v>7</v>
      </c>
    </row>
    <row r="7" spans="1:8" ht="37.950000000000003" customHeight="1" thickBot="1" x14ac:dyDescent="0.35">
      <c r="A7" s="3">
        <v>1</v>
      </c>
      <c r="B7" s="136" t="s">
        <v>191</v>
      </c>
      <c r="C7" s="137"/>
      <c r="D7" s="53">
        <v>0.03</v>
      </c>
      <c r="E7" s="52" t="s">
        <v>199</v>
      </c>
      <c r="F7" s="7">
        <v>5</v>
      </c>
      <c r="G7" s="8">
        <f t="shared" ref="G7:G8" si="0">IF(F7="","",(F7/5)*D7)</f>
        <v>0.03</v>
      </c>
      <c r="H7" s="3" t="str">
        <f t="shared" ref="H7:H8" si="1">IF(F7="","—",IF(F7=5,"Excellent",IF(F7=4,"Very Good",IF(F7=3,"Good",IF(F7=2,"Needs Improvement","Poor")))))</f>
        <v>Excellent</v>
      </c>
    </row>
    <row r="8" spans="1:8" ht="37.950000000000003" customHeight="1" thickBot="1" x14ac:dyDescent="0.35">
      <c r="A8" s="9">
        <v>2</v>
      </c>
      <c r="B8" s="134" t="s">
        <v>192</v>
      </c>
      <c r="C8" s="135"/>
      <c r="D8" s="55">
        <v>0.03</v>
      </c>
      <c r="E8" s="54" t="s">
        <v>200</v>
      </c>
      <c r="F8" s="7">
        <v>5</v>
      </c>
      <c r="G8" s="12">
        <f t="shared" si="0"/>
        <v>0.03</v>
      </c>
      <c r="H8" s="9" t="str">
        <f t="shared" si="1"/>
        <v>Excellent</v>
      </c>
    </row>
    <row r="9" spans="1:8" ht="40.200000000000003" thickBot="1" x14ac:dyDescent="0.35">
      <c r="A9" s="3">
        <v>3</v>
      </c>
      <c r="B9" s="136" t="s">
        <v>193</v>
      </c>
      <c r="C9" s="137"/>
      <c r="D9" s="53">
        <v>0.03</v>
      </c>
      <c r="E9" s="52" t="s">
        <v>201</v>
      </c>
      <c r="F9" s="7">
        <v>5</v>
      </c>
      <c r="G9" s="8">
        <f t="shared" ref="G9:G16" si="2">IF(F9="","",(F9/5)*D9)</f>
        <v>0.03</v>
      </c>
      <c r="H9" s="3" t="str">
        <f t="shared" ref="H9:H16" si="3">IF(F9="","—",IF(F9=5,"Excellent",IF(F9=4,"Very Good",IF(F9=3,"Good",IF(F9=2,"Needs Improvement","Poor")))))</f>
        <v>Excellent</v>
      </c>
    </row>
    <row r="10" spans="1:8" ht="27" thickBot="1" x14ac:dyDescent="0.35">
      <c r="A10" s="9">
        <v>4</v>
      </c>
      <c r="B10" s="134" t="s">
        <v>194</v>
      </c>
      <c r="C10" s="135"/>
      <c r="D10" s="55">
        <v>0.02</v>
      </c>
      <c r="E10" s="54" t="s">
        <v>202</v>
      </c>
      <c r="F10" s="7">
        <v>5</v>
      </c>
      <c r="G10" s="12">
        <f t="shared" si="2"/>
        <v>0.02</v>
      </c>
      <c r="H10" s="9" t="str">
        <f t="shared" si="3"/>
        <v>Excellent</v>
      </c>
    </row>
    <row r="11" spans="1:8" ht="27" thickBot="1" x14ac:dyDescent="0.35">
      <c r="A11" s="3">
        <v>5</v>
      </c>
      <c r="B11" s="136" t="s">
        <v>195</v>
      </c>
      <c r="C11" s="137"/>
      <c r="D11" s="53">
        <v>0.03</v>
      </c>
      <c r="E11" s="52" t="s">
        <v>203</v>
      </c>
      <c r="F11" s="7">
        <v>5</v>
      </c>
      <c r="G11" s="8">
        <f t="shared" si="2"/>
        <v>0.03</v>
      </c>
      <c r="H11" s="3" t="str">
        <f t="shared" si="3"/>
        <v>Excellent</v>
      </c>
    </row>
    <row r="12" spans="1:8" ht="40.200000000000003" thickBot="1" x14ac:dyDescent="0.35">
      <c r="A12" s="9">
        <v>6</v>
      </c>
      <c r="B12" s="134" t="s">
        <v>196</v>
      </c>
      <c r="C12" s="135"/>
      <c r="D12" s="55">
        <v>0.02</v>
      </c>
      <c r="E12" s="54" t="s">
        <v>204</v>
      </c>
      <c r="F12" s="7">
        <v>5</v>
      </c>
      <c r="G12" s="12">
        <f t="shared" si="2"/>
        <v>0.02</v>
      </c>
      <c r="H12" s="9" t="str">
        <f t="shared" si="3"/>
        <v>Excellent</v>
      </c>
    </row>
    <row r="13" spans="1:8" ht="27" thickBot="1" x14ac:dyDescent="0.35">
      <c r="A13" s="3">
        <v>7</v>
      </c>
      <c r="B13" s="136" t="s">
        <v>197</v>
      </c>
      <c r="C13" s="137"/>
      <c r="D13" s="53">
        <v>0.01</v>
      </c>
      <c r="E13" s="52" t="s">
        <v>205</v>
      </c>
      <c r="F13" s="7">
        <v>5</v>
      </c>
      <c r="G13" s="8">
        <f t="shared" si="2"/>
        <v>0.01</v>
      </c>
      <c r="H13" s="3" t="str">
        <f t="shared" si="3"/>
        <v>Excellent</v>
      </c>
    </row>
    <row r="14" spans="1:8" ht="25.5" customHeight="1" thickBot="1" x14ac:dyDescent="0.35">
      <c r="A14" s="9">
        <v>8</v>
      </c>
      <c r="B14" s="134" t="s">
        <v>99</v>
      </c>
      <c r="C14" s="135"/>
      <c r="D14" s="55">
        <v>0.01</v>
      </c>
      <c r="E14" s="54" t="s">
        <v>206</v>
      </c>
      <c r="F14" s="7">
        <v>5</v>
      </c>
      <c r="G14" s="12">
        <f t="shared" si="2"/>
        <v>0.01</v>
      </c>
      <c r="H14" s="9" t="str">
        <f t="shared" si="3"/>
        <v>Excellent</v>
      </c>
    </row>
    <row r="15" spans="1:8" ht="50.55" customHeight="1" thickBot="1" x14ac:dyDescent="0.35">
      <c r="A15" s="3">
        <v>9</v>
      </c>
      <c r="B15" s="136" t="s">
        <v>198</v>
      </c>
      <c r="C15" s="137"/>
      <c r="D15" s="53">
        <v>0.01</v>
      </c>
      <c r="E15" s="52" t="s">
        <v>207</v>
      </c>
      <c r="F15" s="7">
        <v>5</v>
      </c>
      <c r="G15" s="8">
        <f t="shared" si="2"/>
        <v>0.01</v>
      </c>
      <c r="H15" s="3" t="str">
        <f t="shared" si="3"/>
        <v>Excellent</v>
      </c>
    </row>
    <row r="16" spans="1:8" ht="25.5" customHeight="1" thickBot="1" x14ac:dyDescent="0.35">
      <c r="A16" s="9">
        <v>10</v>
      </c>
      <c r="B16" s="162" t="s">
        <v>100</v>
      </c>
      <c r="C16" s="163"/>
      <c r="D16" s="55">
        <v>0.01</v>
      </c>
      <c r="E16" s="54" t="s">
        <v>208</v>
      </c>
      <c r="F16" s="7">
        <v>5</v>
      </c>
      <c r="G16" s="12">
        <f t="shared" si="2"/>
        <v>0.01</v>
      </c>
      <c r="H16" s="9" t="str">
        <f t="shared" si="3"/>
        <v>Excellent</v>
      </c>
    </row>
    <row r="17" spans="1:8" ht="24" customHeight="1" thickBot="1" x14ac:dyDescent="0.35">
      <c r="A17" s="160" t="s">
        <v>2</v>
      </c>
      <c r="B17" s="160"/>
      <c r="C17" s="23"/>
      <c r="D17" s="24">
        <f>SUM(D7:D16)</f>
        <v>0.20000000000000004</v>
      </c>
      <c r="E17" s="24"/>
      <c r="F17" s="23">
        <f>SUM(F7:F16)</f>
        <v>50</v>
      </c>
      <c r="G17" s="25">
        <f>IFERROR(SUM(G7:G16),"")</f>
        <v>0.20000000000000004</v>
      </c>
      <c r="H17" s="23"/>
    </row>
    <row r="18" spans="1:8" ht="25.5" customHeight="1" thickBot="1" x14ac:dyDescent="0.35">
      <c r="A18" s="161" t="s">
        <v>14</v>
      </c>
      <c r="B18" s="161"/>
      <c r="C18" s="161"/>
      <c r="D18" s="161"/>
      <c r="E18" s="161"/>
      <c r="F18" s="161"/>
      <c r="G18" s="26">
        <f>IFERROR(G17/0.2*100,"")</f>
        <v>100.00000000000003</v>
      </c>
      <c r="H18" s="27" t="str">
        <f>IFERROR(IF(G18&gt;=90,"Excellent",IF(G18&gt;=80,"Very Good",IF(G18&gt;=70,"Good",IF(G18&gt;=60,"Needs Improvement","Unsatisfactory")))),"—")</f>
        <v>Excellent</v>
      </c>
    </row>
    <row r="19" spans="1:8" ht="15.6" x14ac:dyDescent="0.3">
      <c r="A19" s="41"/>
      <c r="B19" s="41"/>
      <c r="C19" s="41"/>
      <c r="D19" s="41"/>
      <c r="E19" s="41"/>
      <c r="F19" s="42"/>
      <c r="G19" s="43"/>
      <c r="H19" s="44"/>
    </row>
    <row r="20" spans="1:8" ht="18" customHeight="1" x14ac:dyDescent="0.3">
      <c r="A20" s="38" t="s">
        <v>25</v>
      </c>
      <c r="B20" s="38"/>
      <c r="C20" s="38"/>
      <c r="D20" s="38"/>
      <c r="E20" s="38"/>
      <c r="F20" s="39"/>
      <c r="G20" s="38"/>
      <c r="H20" s="38"/>
    </row>
    <row r="21" spans="1:8" ht="18" customHeight="1" x14ac:dyDescent="0.3">
      <c r="A21" s="49"/>
      <c r="B21" s="47" t="s">
        <v>26</v>
      </c>
      <c r="C21" s="47"/>
      <c r="D21" s="39"/>
      <c r="E21" s="39"/>
      <c r="F21" s="39"/>
      <c r="G21" s="39"/>
      <c r="H21" s="39"/>
    </row>
    <row r="22" spans="1:8" ht="18" customHeight="1" x14ac:dyDescent="0.3">
      <c r="A22" s="50"/>
      <c r="B22" s="48" t="s">
        <v>27</v>
      </c>
      <c r="C22" s="48"/>
      <c r="D22" s="40"/>
      <c r="E22" s="40"/>
      <c r="F22" s="39"/>
      <c r="G22" s="40"/>
      <c r="H22" s="40"/>
    </row>
    <row r="23" spans="1:8" ht="18" customHeight="1" x14ac:dyDescent="0.3">
      <c r="A23" s="51"/>
      <c r="B23" s="46" t="s">
        <v>28</v>
      </c>
      <c r="C23" s="46"/>
      <c r="D23" s="37"/>
      <c r="E23" s="37"/>
      <c r="F23" s="39"/>
      <c r="G23" s="37"/>
      <c r="H23" s="37"/>
    </row>
    <row r="24" spans="1:8" ht="18" customHeight="1" x14ac:dyDescent="0.3">
      <c r="A24" s="51"/>
      <c r="B24" s="45" t="s">
        <v>29</v>
      </c>
      <c r="C24" s="45"/>
      <c r="D24" s="37"/>
      <c r="E24" s="37"/>
      <c r="F24" s="37"/>
      <c r="G24" s="37"/>
      <c r="H24" s="37"/>
    </row>
    <row r="25" spans="1:8" ht="18" customHeight="1" x14ac:dyDescent="0.3">
      <c r="A25" s="37"/>
      <c r="B25" s="37"/>
      <c r="C25" s="37"/>
      <c r="D25" s="37"/>
      <c r="E25" s="37"/>
      <c r="F25" s="37"/>
      <c r="G25" s="37"/>
      <c r="H25" s="37"/>
    </row>
    <row r="26" spans="1:8" ht="19.5" customHeight="1" x14ac:dyDescent="0.3">
      <c r="A26" s="138" t="s">
        <v>15</v>
      </c>
      <c r="B26" s="139"/>
      <c r="C26" s="139"/>
      <c r="D26" s="139"/>
      <c r="E26" s="139"/>
      <c r="F26" s="139"/>
      <c r="G26" s="139"/>
      <c r="H26" s="140"/>
    </row>
    <row r="27" spans="1:8" ht="19.5" customHeight="1" x14ac:dyDescent="0.3">
      <c r="A27" s="139"/>
      <c r="B27" s="139"/>
      <c r="C27" s="139"/>
      <c r="D27" s="139"/>
      <c r="E27" s="139"/>
      <c r="F27" s="139"/>
      <c r="G27" s="139"/>
      <c r="H27" s="140"/>
    </row>
    <row r="28" spans="1:8" ht="19.5" customHeight="1" x14ac:dyDescent="0.3">
      <c r="A28" s="139"/>
      <c r="B28" s="139"/>
      <c r="C28" s="139"/>
      <c r="D28" s="139"/>
      <c r="E28" s="139"/>
      <c r="F28" s="139"/>
      <c r="G28" s="139"/>
      <c r="H28" s="140"/>
    </row>
    <row r="29" spans="1:8" ht="19.5" customHeight="1" x14ac:dyDescent="0.3">
      <c r="A29" s="141"/>
      <c r="B29" s="141"/>
      <c r="C29" s="141"/>
      <c r="D29" s="141"/>
      <c r="E29" s="141"/>
      <c r="F29" s="141"/>
      <c r="G29" s="141"/>
      <c r="H29" s="142"/>
    </row>
  </sheetData>
  <mergeCells count="16">
    <mergeCell ref="A26:H29"/>
    <mergeCell ref="B6:C6"/>
    <mergeCell ref="A1:H1"/>
    <mergeCell ref="A5:H5"/>
    <mergeCell ref="A17:B17"/>
    <mergeCell ref="A18:F18"/>
    <mergeCell ref="B7:C7"/>
    <mergeCell ref="B8:C8"/>
    <mergeCell ref="B9:C9"/>
    <mergeCell ref="B10:C10"/>
    <mergeCell ref="B11:C11"/>
    <mergeCell ref="B12:C12"/>
    <mergeCell ref="B13:C13"/>
    <mergeCell ref="B16:C16"/>
    <mergeCell ref="B14:C14"/>
    <mergeCell ref="B15:C15"/>
  </mergeCells>
  <printOptions horizontalCentered="1"/>
  <pageMargins left="0.25" right="0.25" top="0.5" bottom="0.25" header="0.261811024" footer="0.261811024"/>
  <pageSetup paperSize="9" scale="8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0</xdr:col>
                    <xdr:colOff>563880</xdr:colOff>
                    <xdr:row>20</xdr:row>
                    <xdr:rowOff>0</xdr:rowOff>
                  </from>
                  <to>
                    <xdr:col>0</xdr:col>
                    <xdr:colOff>861060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0</xdr:col>
                    <xdr:colOff>586740</xdr:colOff>
                    <xdr:row>21</xdr:row>
                    <xdr:rowOff>15240</xdr:rowOff>
                  </from>
                  <to>
                    <xdr:col>1</xdr:col>
                    <xdr:colOff>15240</xdr:colOff>
                    <xdr:row>21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0</xdr:col>
                    <xdr:colOff>563880</xdr:colOff>
                    <xdr:row>22</xdr:row>
                    <xdr:rowOff>38100</xdr:rowOff>
                  </from>
                  <to>
                    <xdr:col>0</xdr:col>
                    <xdr:colOff>861060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0</xdr:col>
                    <xdr:colOff>571500</xdr:colOff>
                    <xdr:row>23</xdr:row>
                    <xdr:rowOff>38100</xdr:rowOff>
                  </from>
                  <to>
                    <xdr:col>1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7DCE-6B0C-461C-8CDA-825506D266A3}">
  <sheetPr>
    <tabColor rgb="FF002060"/>
  </sheetPr>
  <dimension ref="A1:K34"/>
  <sheetViews>
    <sheetView view="pageBreakPreview" topLeftCell="A13" zoomScaleNormal="100" zoomScaleSheetLayoutView="100" workbookViewId="0">
      <selection activeCell="B7" sqref="B7:C7"/>
    </sheetView>
  </sheetViews>
  <sheetFormatPr defaultColWidth="8.77734375" defaultRowHeight="14.4" x14ac:dyDescent="0.3"/>
  <cols>
    <col min="1" max="1" width="12.88671875" customWidth="1"/>
    <col min="2" max="2" width="19" customWidth="1"/>
    <col min="3" max="3" width="19.5546875" customWidth="1"/>
    <col min="4" max="4" width="13.44140625" customWidth="1"/>
    <col min="5" max="5" width="47.77734375" style="30" customWidth="1"/>
    <col min="6" max="6" width="13.77734375" customWidth="1"/>
    <col min="7" max="7" width="16.88671875" customWidth="1"/>
    <col min="8" max="8" width="20" customWidth="1"/>
  </cols>
  <sheetData>
    <row r="1" spans="1:11" ht="37.049999999999997" customHeight="1" thickBot="1" x14ac:dyDescent="0.35">
      <c r="A1" s="144" t="s">
        <v>67</v>
      </c>
      <c r="B1" s="144"/>
      <c r="C1" s="144"/>
      <c r="D1" s="144"/>
      <c r="E1" s="144"/>
      <c r="F1" s="144"/>
      <c r="G1" s="144"/>
      <c r="H1" s="144"/>
    </row>
    <row r="2" spans="1:11" ht="15.75" customHeight="1" x14ac:dyDescent="0.3">
      <c r="A2" s="33" t="s">
        <v>17</v>
      </c>
      <c r="B2" s="59" t="str">
        <f>'Top Sheet'!B11</f>
        <v>Navid Anjum Shuvro</v>
      </c>
      <c r="C2" s="31"/>
      <c r="D2" s="33" t="s">
        <v>21</v>
      </c>
      <c r="E2" s="31"/>
      <c r="F2" s="61">
        <f>'Top Sheet'!B12</f>
        <v>8365</v>
      </c>
      <c r="G2" s="34" t="s">
        <v>19</v>
      </c>
      <c r="H2" s="31" t="str">
        <f>'Top Sheet'!D12</f>
        <v>Band 11</v>
      </c>
    </row>
    <row r="3" spans="1:11" ht="15.75" customHeight="1" x14ac:dyDescent="0.3">
      <c r="A3" s="32" t="s">
        <v>18</v>
      </c>
      <c r="B3" s="59" t="str">
        <f>'Top Sheet'!D11</f>
        <v>SOFTWARE DEVELOPMENT SPECIALIST</v>
      </c>
      <c r="C3" s="31"/>
      <c r="D3" s="33" t="s">
        <v>20</v>
      </c>
      <c r="E3" s="31"/>
      <c r="F3" s="31" t="str">
        <f>'Top Sheet'!E9</f>
        <v>2025-2026</v>
      </c>
      <c r="G3" s="35" t="s">
        <v>23</v>
      </c>
      <c r="H3" s="57">
        <f>'Top Sheet'!B13</f>
        <v>72000</v>
      </c>
    </row>
    <row r="4" spans="1:11" ht="15.75" customHeight="1" x14ac:dyDescent="0.3">
      <c r="A4" s="33" t="s">
        <v>22</v>
      </c>
      <c r="B4" s="60">
        <f>'Top Sheet'!D13</f>
        <v>45292</v>
      </c>
      <c r="C4" s="31"/>
      <c r="D4" s="33" t="s">
        <v>24</v>
      </c>
      <c r="E4" s="31"/>
      <c r="F4" s="31" t="str">
        <f>'Top Sheet'!D14</f>
        <v>2 Y 5 M 21 D</v>
      </c>
      <c r="G4" s="56" t="s">
        <v>31</v>
      </c>
      <c r="H4" s="58" t="str">
        <f>IF(C27="","",H3+C27)</f>
        <v/>
      </c>
    </row>
    <row r="5" spans="1:11" ht="19.05" customHeight="1" thickBot="1" x14ac:dyDescent="0.35">
      <c r="A5" s="145" t="s">
        <v>3</v>
      </c>
      <c r="B5" s="145"/>
      <c r="C5" s="145"/>
      <c r="D5" s="145"/>
      <c r="E5" s="145"/>
      <c r="F5" s="145"/>
      <c r="G5" s="145"/>
      <c r="H5" s="145"/>
    </row>
    <row r="6" spans="1:11" ht="30" customHeight="1" thickBot="1" x14ac:dyDescent="0.35">
      <c r="A6" s="5" t="s">
        <v>4</v>
      </c>
      <c r="B6" s="148" t="s">
        <v>5</v>
      </c>
      <c r="C6" s="149"/>
      <c r="D6" s="5" t="s">
        <v>0</v>
      </c>
      <c r="E6" s="28" t="s">
        <v>16</v>
      </c>
      <c r="F6" s="5" t="s">
        <v>6</v>
      </c>
      <c r="G6" s="5" t="s">
        <v>1</v>
      </c>
      <c r="H6" s="5" t="s">
        <v>7</v>
      </c>
      <c r="K6" s="36"/>
    </row>
    <row r="7" spans="1:11" ht="53.4" thickBot="1" x14ac:dyDescent="0.35">
      <c r="A7" s="3">
        <v>1</v>
      </c>
      <c r="B7" s="172" t="s">
        <v>72</v>
      </c>
      <c r="C7" s="173"/>
      <c r="D7" s="2">
        <v>0.05</v>
      </c>
      <c r="E7" s="6" t="s">
        <v>82</v>
      </c>
      <c r="F7" s="7"/>
      <c r="G7" s="8" t="str">
        <f t="shared" ref="G7:G21" si="0">IF(F7="","",(F7/5)*D7)</f>
        <v/>
      </c>
      <c r="H7" s="3" t="str">
        <f t="shared" ref="H7:H21" si="1">IF(F7="","—",IF(F7=5,"Excellent",IF(F7=4,"Very Good",IF(F7=3,"Good",IF(F7=2,"Needs Improvement","Poor")))))</f>
        <v>—</v>
      </c>
    </row>
    <row r="8" spans="1:11" ht="37.950000000000003" customHeight="1" thickBot="1" x14ac:dyDescent="0.35">
      <c r="A8" s="9">
        <v>2</v>
      </c>
      <c r="B8" s="174" t="s">
        <v>92</v>
      </c>
      <c r="C8" s="175"/>
      <c r="D8" s="11">
        <v>0.04</v>
      </c>
      <c r="E8" s="10" t="s">
        <v>93</v>
      </c>
      <c r="F8" s="7"/>
      <c r="G8" s="12" t="str">
        <f t="shared" si="0"/>
        <v/>
      </c>
      <c r="H8" s="9" t="str">
        <f t="shared" si="1"/>
        <v>—</v>
      </c>
    </row>
    <row r="9" spans="1:11" ht="39" customHeight="1" thickBot="1" x14ac:dyDescent="0.35">
      <c r="A9" s="3">
        <v>3</v>
      </c>
      <c r="B9" s="172" t="s">
        <v>94</v>
      </c>
      <c r="C9" s="173"/>
      <c r="D9" s="2">
        <v>0.03</v>
      </c>
      <c r="E9" s="6" t="s">
        <v>95</v>
      </c>
      <c r="F9" s="7"/>
      <c r="G9" s="8" t="str">
        <f t="shared" si="0"/>
        <v/>
      </c>
      <c r="H9" s="3" t="str">
        <f t="shared" si="1"/>
        <v>—</v>
      </c>
    </row>
    <row r="10" spans="1:11" ht="53.4" thickBot="1" x14ac:dyDescent="0.35">
      <c r="A10" s="9">
        <v>4</v>
      </c>
      <c r="B10" s="134" t="s">
        <v>73</v>
      </c>
      <c r="C10" s="135"/>
      <c r="D10" s="11">
        <v>0.04</v>
      </c>
      <c r="E10" s="10" t="s">
        <v>83</v>
      </c>
      <c r="F10" s="7"/>
      <c r="G10" s="12" t="str">
        <f t="shared" si="0"/>
        <v/>
      </c>
      <c r="H10" s="9" t="str">
        <f t="shared" si="1"/>
        <v>—</v>
      </c>
    </row>
    <row r="11" spans="1:11" s="107" customFormat="1" ht="53.4" thickBot="1" x14ac:dyDescent="0.35">
      <c r="A11" s="108">
        <v>5</v>
      </c>
      <c r="B11" s="166" t="s">
        <v>74</v>
      </c>
      <c r="C11" s="167"/>
      <c r="D11" s="109">
        <v>0.04</v>
      </c>
      <c r="E11" s="110" t="s">
        <v>84</v>
      </c>
      <c r="F11" s="105"/>
      <c r="G11" s="111" t="str">
        <f t="shared" si="0"/>
        <v/>
      </c>
      <c r="H11" s="108" t="str">
        <f t="shared" si="1"/>
        <v>—</v>
      </c>
    </row>
    <row r="12" spans="1:11" ht="37.5" customHeight="1" thickBot="1" x14ac:dyDescent="0.35">
      <c r="A12" s="9">
        <v>6</v>
      </c>
      <c r="B12" s="164" t="s">
        <v>75</v>
      </c>
      <c r="C12" s="165"/>
      <c r="D12" s="11">
        <v>0.03</v>
      </c>
      <c r="E12" s="10" t="s">
        <v>85</v>
      </c>
      <c r="F12" s="7"/>
      <c r="G12" s="12" t="str">
        <f t="shared" si="0"/>
        <v/>
      </c>
      <c r="H12" s="9" t="str">
        <f t="shared" si="1"/>
        <v>—</v>
      </c>
    </row>
    <row r="13" spans="1:11" s="107" customFormat="1" ht="37.5" customHeight="1" thickBot="1" x14ac:dyDescent="0.35">
      <c r="A13" s="108">
        <v>7</v>
      </c>
      <c r="B13" s="166" t="s">
        <v>76</v>
      </c>
      <c r="C13" s="167"/>
      <c r="D13" s="109">
        <v>0.04</v>
      </c>
      <c r="E13" s="110" t="s">
        <v>86</v>
      </c>
      <c r="F13" s="105">
        <v>5</v>
      </c>
      <c r="G13" s="111">
        <f t="shared" si="0"/>
        <v>0.04</v>
      </c>
      <c r="H13" s="108" t="str">
        <f t="shared" si="1"/>
        <v>Excellent</v>
      </c>
    </row>
    <row r="14" spans="1:11" s="107" customFormat="1" ht="37.5" customHeight="1" thickBot="1" x14ac:dyDescent="0.35">
      <c r="A14" s="103">
        <v>8</v>
      </c>
      <c r="B14" s="164" t="s">
        <v>77</v>
      </c>
      <c r="C14" s="165"/>
      <c r="D14" s="104">
        <v>0.03</v>
      </c>
      <c r="E14" s="102" t="s">
        <v>87</v>
      </c>
      <c r="F14" s="105">
        <v>5</v>
      </c>
      <c r="G14" s="106">
        <f t="shared" si="0"/>
        <v>0.03</v>
      </c>
      <c r="H14" s="103" t="str">
        <f t="shared" si="1"/>
        <v>Excellent</v>
      </c>
    </row>
    <row r="15" spans="1:11" ht="37.5" customHeight="1" thickBot="1" x14ac:dyDescent="0.35">
      <c r="A15" s="3">
        <v>9</v>
      </c>
      <c r="B15" s="172" t="s">
        <v>78</v>
      </c>
      <c r="C15" s="173"/>
      <c r="D15" s="2">
        <v>0.03</v>
      </c>
      <c r="E15" s="6" t="s">
        <v>88</v>
      </c>
      <c r="F15" s="7"/>
      <c r="G15" s="8" t="str">
        <f t="shared" si="0"/>
        <v/>
      </c>
      <c r="H15" s="3" t="str">
        <f t="shared" si="1"/>
        <v>—</v>
      </c>
    </row>
    <row r="16" spans="1:11" s="107" customFormat="1" ht="53.4" thickBot="1" x14ac:dyDescent="0.35">
      <c r="A16" s="103">
        <v>10</v>
      </c>
      <c r="B16" s="164" t="s">
        <v>79</v>
      </c>
      <c r="C16" s="165"/>
      <c r="D16" s="104">
        <v>0.04</v>
      </c>
      <c r="E16" s="102" t="s">
        <v>89</v>
      </c>
      <c r="F16" s="105" t="s">
        <v>97</v>
      </c>
      <c r="G16" s="106" t="e">
        <f t="shared" si="0"/>
        <v>#VALUE!</v>
      </c>
      <c r="H16" s="103" t="str">
        <f t="shared" si="1"/>
        <v>Poor</v>
      </c>
    </row>
    <row r="17" spans="1:8" ht="37.5" customHeight="1" thickBot="1" x14ac:dyDescent="0.35">
      <c r="A17" s="3">
        <v>11</v>
      </c>
      <c r="B17" s="166" t="s">
        <v>80</v>
      </c>
      <c r="C17" s="167"/>
      <c r="D17" s="2">
        <v>0.03</v>
      </c>
      <c r="E17" s="6" t="s">
        <v>90</v>
      </c>
      <c r="F17" s="7"/>
      <c r="G17" s="8" t="str">
        <f t="shared" si="0"/>
        <v/>
      </c>
      <c r="H17" s="3" t="str">
        <f t="shared" si="1"/>
        <v>—</v>
      </c>
    </row>
    <row r="18" spans="1:8" s="107" customFormat="1" ht="40.200000000000003" thickBot="1" x14ac:dyDescent="0.35">
      <c r="A18" s="103">
        <v>12</v>
      </c>
      <c r="B18" s="164" t="s">
        <v>81</v>
      </c>
      <c r="C18" s="165"/>
      <c r="D18" s="104">
        <v>0.03</v>
      </c>
      <c r="E18" s="102" t="s">
        <v>91</v>
      </c>
      <c r="F18" s="105">
        <v>5</v>
      </c>
      <c r="G18" s="106">
        <f t="shared" si="0"/>
        <v>0.03</v>
      </c>
      <c r="H18" s="103" t="str">
        <f t="shared" si="1"/>
        <v>Excellent</v>
      </c>
    </row>
    <row r="19" spans="1:8" ht="40.200000000000003" thickBot="1" x14ac:dyDescent="0.35">
      <c r="A19" s="95">
        <v>13</v>
      </c>
      <c r="B19" s="168" t="s">
        <v>62</v>
      </c>
      <c r="C19" s="169"/>
      <c r="D19" s="96">
        <v>0.02</v>
      </c>
      <c r="E19" s="110" t="s">
        <v>64</v>
      </c>
      <c r="F19" s="97"/>
      <c r="G19" s="98" t="str">
        <f t="shared" si="0"/>
        <v/>
      </c>
      <c r="H19" s="95" t="str">
        <f t="shared" si="1"/>
        <v>—</v>
      </c>
    </row>
    <row r="20" spans="1:8" ht="40.200000000000003" thickBot="1" x14ac:dyDescent="0.35">
      <c r="A20" s="99">
        <v>14</v>
      </c>
      <c r="B20" s="170" t="s">
        <v>96</v>
      </c>
      <c r="C20" s="171"/>
      <c r="D20" s="100">
        <v>0.02</v>
      </c>
      <c r="E20" s="102" t="s">
        <v>65</v>
      </c>
      <c r="F20" s="97"/>
      <c r="G20" s="101" t="str">
        <f t="shared" si="0"/>
        <v/>
      </c>
      <c r="H20" s="99" t="str">
        <f t="shared" si="1"/>
        <v>—</v>
      </c>
    </row>
    <row r="21" spans="1:8" ht="40.200000000000003" thickBot="1" x14ac:dyDescent="0.35">
      <c r="A21" s="95">
        <v>15</v>
      </c>
      <c r="B21" s="168" t="s">
        <v>63</v>
      </c>
      <c r="C21" s="169"/>
      <c r="D21" s="96">
        <v>0.03</v>
      </c>
      <c r="E21" s="110" t="s">
        <v>66</v>
      </c>
      <c r="F21" s="97"/>
      <c r="G21" s="98" t="str">
        <f t="shared" si="0"/>
        <v/>
      </c>
      <c r="H21" s="95" t="str">
        <f t="shared" si="1"/>
        <v>—</v>
      </c>
    </row>
    <row r="22" spans="1:8" ht="24" customHeight="1" thickBot="1" x14ac:dyDescent="0.35">
      <c r="A22" s="146" t="s">
        <v>2</v>
      </c>
      <c r="B22" s="146"/>
      <c r="C22" s="1"/>
      <c r="D22" s="4">
        <f>SUM(D7:D21)</f>
        <v>0.50000000000000011</v>
      </c>
      <c r="E22" s="29"/>
      <c r="F22" s="1">
        <f>SUM(F7:F21)</f>
        <v>15</v>
      </c>
      <c r="G22" s="13" t="str">
        <f>IFERROR(SUM(G7:G21),"")</f>
        <v/>
      </c>
      <c r="H22" s="1"/>
    </row>
    <row r="23" spans="1:8" ht="25.5" customHeight="1" thickBot="1" x14ac:dyDescent="0.35">
      <c r="A23" s="147" t="s">
        <v>8</v>
      </c>
      <c r="B23" s="147"/>
      <c r="C23" s="147"/>
      <c r="D23" s="147"/>
      <c r="E23" s="147"/>
      <c r="F23" s="147"/>
      <c r="G23" s="14" t="str">
        <f>IFERROR(G22/0.5*100,"")</f>
        <v/>
      </c>
      <c r="H23" s="15" t="str">
        <f>IFERROR(IF(G23&gt;=90,"Excellent",IF(G23&gt;=80,"Very Good",IF(G23&gt;=70,"Good",IF(G23&gt;=60,"Needs Improvement","Unsatisfactory")))),"—")</f>
        <v>Excellent</v>
      </c>
    </row>
    <row r="24" spans="1:8" ht="15.6" x14ac:dyDescent="0.3">
      <c r="A24" s="41"/>
      <c r="B24" s="41"/>
      <c r="C24" s="41"/>
      <c r="D24" s="41"/>
      <c r="E24" s="41"/>
      <c r="F24" s="42"/>
      <c r="G24" s="43"/>
      <c r="H24" s="44"/>
    </row>
    <row r="25" spans="1:8" ht="18" customHeight="1" x14ac:dyDescent="0.3">
      <c r="A25" s="38" t="s">
        <v>25</v>
      </c>
      <c r="B25" s="38"/>
      <c r="C25" s="38"/>
      <c r="D25" s="38"/>
      <c r="E25" s="38"/>
      <c r="F25" s="39"/>
      <c r="G25" s="38"/>
      <c r="H25" s="38"/>
    </row>
    <row r="26" spans="1:8" ht="18" customHeight="1" x14ac:dyDescent="0.3">
      <c r="A26" s="49"/>
      <c r="B26" s="47" t="s">
        <v>26</v>
      </c>
      <c r="C26" s="47"/>
      <c r="D26" s="39"/>
      <c r="E26" s="39"/>
      <c r="F26" s="39"/>
      <c r="G26" s="39"/>
      <c r="H26" s="39"/>
    </row>
    <row r="27" spans="1:8" ht="18" customHeight="1" x14ac:dyDescent="0.3">
      <c r="A27" s="50"/>
      <c r="B27" s="48" t="s">
        <v>27</v>
      </c>
      <c r="C27" s="48"/>
      <c r="D27" s="40"/>
      <c r="E27" s="40"/>
      <c r="F27" s="39"/>
      <c r="G27" s="40"/>
      <c r="H27" s="40"/>
    </row>
    <row r="28" spans="1:8" ht="18" customHeight="1" x14ac:dyDescent="0.3">
      <c r="A28" s="51"/>
      <c r="B28" s="46" t="s">
        <v>28</v>
      </c>
      <c r="C28" s="46"/>
      <c r="D28" s="37"/>
      <c r="E28" s="37"/>
      <c r="F28" s="39"/>
      <c r="G28" s="37"/>
      <c r="H28" s="37"/>
    </row>
    <row r="29" spans="1:8" ht="18" customHeight="1" x14ac:dyDescent="0.3">
      <c r="A29" s="51"/>
      <c r="B29" s="45" t="s">
        <v>29</v>
      </c>
      <c r="C29" s="45"/>
      <c r="D29" s="37"/>
      <c r="E29" s="37"/>
      <c r="F29" s="37"/>
      <c r="G29" s="37"/>
      <c r="H29" s="37"/>
    </row>
    <row r="30" spans="1:8" ht="18" customHeight="1" x14ac:dyDescent="0.3">
      <c r="A30" s="37"/>
      <c r="B30" s="37"/>
      <c r="C30" s="37"/>
      <c r="D30" s="37"/>
      <c r="E30" s="37"/>
      <c r="F30" s="37"/>
      <c r="G30" s="37"/>
      <c r="H30" s="37"/>
    </row>
    <row r="31" spans="1:8" ht="19.5" customHeight="1" x14ac:dyDescent="0.3">
      <c r="A31" s="138" t="s">
        <v>9</v>
      </c>
      <c r="B31" s="139"/>
      <c r="C31" s="139"/>
      <c r="D31" s="139"/>
      <c r="E31" s="139"/>
      <c r="F31" s="139"/>
      <c r="G31" s="139"/>
      <c r="H31" s="140"/>
    </row>
    <row r="32" spans="1:8" ht="19.5" customHeight="1" x14ac:dyDescent="0.3">
      <c r="A32" s="139"/>
      <c r="B32" s="139"/>
      <c r="C32" s="139"/>
      <c r="D32" s="139"/>
      <c r="E32" s="139"/>
      <c r="F32" s="139"/>
      <c r="G32" s="139"/>
      <c r="H32" s="140"/>
    </row>
    <row r="33" spans="1:8" ht="19.5" customHeight="1" x14ac:dyDescent="0.3">
      <c r="A33" s="139"/>
      <c r="B33" s="139"/>
      <c r="C33" s="139"/>
      <c r="D33" s="139"/>
      <c r="E33" s="139"/>
      <c r="F33" s="139"/>
      <c r="G33" s="139"/>
      <c r="H33" s="140"/>
    </row>
    <row r="34" spans="1:8" ht="19.5" customHeight="1" x14ac:dyDescent="0.3">
      <c r="A34" s="141"/>
      <c r="B34" s="141"/>
      <c r="C34" s="141"/>
      <c r="D34" s="141"/>
      <c r="E34" s="141"/>
      <c r="F34" s="141"/>
      <c r="G34" s="141"/>
      <c r="H34" s="142"/>
    </row>
  </sheetData>
  <mergeCells count="21">
    <mergeCell ref="B15:C15"/>
    <mergeCell ref="A1:H1"/>
    <mergeCell ref="A5:H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22:B22"/>
    <mergeCell ref="A23:F23"/>
    <mergeCell ref="A31:H34"/>
    <mergeCell ref="B16:C16"/>
    <mergeCell ref="B17:C17"/>
    <mergeCell ref="B18:C18"/>
    <mergeCell ref="B19:C19"/>
    <mergeCell ref="B20:C20"/>
    <mergeCell ref="B21:C21"/>
  </mergeCells>
  <printOptions horizontalCentered="1"/>
  <pageMargins left="0.25" right="0.25" top="0.5" bottom="0.2" header="0.261811024" footer="0.261811024"/>
  <pageSetup paperSize="9" scale="8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0</xdr:col>
                    <xdr:colOff>601980</xdr:colOff>
                    <xdr:row>25</xdr:row>
                    <xdr:rowOff>15240</xdr:rowOff>
                  </from>
                  <to>
                    <xdr:col>1</xdr:col>
                    <xdr:colOff>0</xdr:colOff>
                    <xdr:row>25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0</xdr:col>
                    <xdr:colOff>601980</xdr:colOff>
                    <xdr:row>26</xdr:row>
                    <xdr:rowOff>15240</xdr:rowOff>
                  </from>
                  <to>
                    <xdr:col>1</xdr:col>
                    <xdr:colOff>0</xdr:colOff>
                    <xdr:row>26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0</xdr:col>
                    <xdr:colOff>601980</xdr:colOff>
                    <xdr:row>27</xdr:row>
                    <xdr:rowOff>15240</xdr:rowOff>
                  </from>
                  <to>
                    <xdr:col>1</xdr:col>
                    <xdr:colOff>0</xdr:colOff>
                    <xdr:row>27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0</xdr:col>
                    <xdr:colOff>601980</xdr:colOff>
                    <xdr:row>28</xdr:row>
                    <xdr:rowOff>15240</xdr:rowOff>
                  </from>
                  <to>
                    <xdr:col>1</xdr:col>
                    <xdr:colOff>0</xdr:colOff>
                    <xdr:row>28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Top Sheet</vt:lpstr>
      <vt:lpstr>Part A - HOD (50%)</vt:lpstr>
      <vt:lpstr>Part B - HR (30%)</vt:lpstr>
      <vt:lpstr>Part C - Audit (20%)</vt:lpstr>
      <vt:lpstr>Part A - HOD (50%) (2)</vt:lpstr>
      <vt:lpstr>'Part A - HOD (50%)'!Print_Area</vt:lpstr>
      <vt:lpstr>'Part A - HOD (50%) (2)'!Print_Area</vt:lpstr>
      <vt:lpstr>'Top Sheet'!Print_Area</vt:lpstr>
      <vt:lpstr>'Part A - HOD (50%)'!Print_Titles</vt:lpstr>
      <vt:lpstr>'Part A - HOD (50%)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Navid Anjum</cp:lastModifiedBy>
  <cp:revision>0</cp:revision>
  <cp:lastPrinted>2026-06-13T09:37:58Z</cp:lastPrinted>
  <dcterms:created xsi:type="dcterms:W3CDTF">2026-06-10T05:49:34Z</dcterms:created>
  <dcterms:modified xsi:type="dcterms:W3CDTF">2026-06-22T06:12:28Z</dcterms:modified>
  <dc:language>en-US</dc:language>
</cp:coreProperties>
</file>