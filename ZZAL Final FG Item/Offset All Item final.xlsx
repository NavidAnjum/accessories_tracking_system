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ZZAL Final FG Item\"/>
    </mc:Choice>
  </mc:AlternateContent>
  <xr:revisionPtr revIDLastSave="0" documentId="13_ncr:1_{9A59C2B4-D599-4D9C-8554-CB634CF62C10}" xr6:coauthVersionLast="45" xr6:coauthVersionMax="47" xr10:uidLastSave="{00000000-0000-0000-0000-000000000000}"/>
  <bookViews>
    <workbookView xWindow="-110" yWindow="-110" windowWidth="19420" windowHeight="10420" tabRatio="817" firstSheet="1" activeTab="1" xr2:uid="{00000000-000D-0000-FFFF-FFFF00000000}"/>
  </bookViews>
  <sheets>
    <sheet name="Sheet1" sheetId="1" r:id="rId1"/>
    <sheet name="Offset" sheetId="9" r:id="rId2"/>
  </sheets>
  <definedNames>
    <definedName name="_xlnm._FilterDatabase" localSheetId="1" hidden="1">Offset!$A$1:$AB$462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2" i="9" l="1"/>
  <c r="X2" i="9"/>
  <c r="AA3" i="9" l="1"/>
  <c r="AA4" i="9"/>
  <c r="AA5" i="9"/>
  <c r="AA6" i="9"/>
  <c r="AA7" i="9"/>
  <c r="AA8" i="9"/>
  <c r="AA9" i="9"/>
  <c r="AA10" i="9"/>
  <c r="AA11" i="9"/>
  <c r="AA12" i="9"/>
  <c r="AA13" i="9"/>
  <c r="AA14" i="9"/>
  <c r="AA15" i="9"/>
  <c r="AA16" i="9"/>
  <c r="AA17" i="9"/>
  <c r="AA18" i="9"/>
  <c r="AA19" i="9"/>
  <c r="AA20" i="9"/>
  <c r="AA21" i="9"/>
  <c r="AA22" i="9"/>
  <c r="AA23" i="9"/>
  <c r="AA24" i="9"/>
  <c r="AA25" i="9"/>
  <c r="AA26" i="9"/>
  <c r="AA27" i="9"/>
  <c r="AA28" i="9"/>
  <c r="AA29" i="9"/>
  <c r="AA30" i="9"/>
  <c r="AA31" i="9"/>
  <c r="AA32" i="9"/>
  <c r="AA33" i="9"/>
  <c r="AA34" i="9"/>
  <c r="AA35" i="9"/>
  <c r="AA36" i="9"/>
  <c r="AA37" i="9"/>
  <c r="AA38" i="9"/>
  <c r="AA39" i="9"/>
  <c r="AA40" i="9"/>
  <c r="AA41" i="9"/>
  <c r="AA42" i="9"/>
  <c r="AA43" i="9"/>
  <c r="AA44" i="9"/>
  <c r="AA45" i="9"/>
  <c r="AA46" i="9"/>
  <c r="AA47" i="9"/>
  <c r="AA48" i="9"/>
  <c r="AA49" i="9"/>
  <c r="AA50" i="9"/>
  <c r="AA51" i="9"/>
  <c r="AA52" i="9"/>
  <c r="AA53" i="9"/>
  <c r="AA54" i="9"/>
  <c r="AA55" i="9"/>
  <c r="AA56" i="9"/>
  <c r="AA57" i="9"/>
  <c r="AA58" i="9"/>
  <c r="AA59" i="9"/>
  <c r="AA60" i="9"/>
  <c r="AA61" i="9"/>
  <c r="AA62" i="9"/>
  <c r="AA63" i="9"/>
  <c r="AA64" i="9"/>
  <c r="AA65" i="9"/>
  <c r="AA66" i="9"/>
  <c r="AA67" i="9"/>
  <c r="AA68" i="9"/>
  <c r="AA69" i="9"/>
  <c r="AA70" i="9"/>
  <c r="AA71" i="9"/>
  <c r="AA72" i="9"/>
  <c r="AA73" i="9"/>
  <c r="AA74" i="9"/>
  <c r="AA75" i="9"/>
  <c r="AA76" i="9"/>
  <c r="AA77" i="9"/>
  <c r="AA78" i="9"/>
  <c r="AA79" i="9"/>
  <c r="AA80" i="9"/>
  <c r="AA81" i="9"/>
  <c r="AA82" i="9"/>
  <c r="AA83" i="9"/>
  <c r="AA84" i="9"/>
  <c r="AA85" i="9"/>
  <c r="AA86" i="9"/>
  <c r="AA87" i="9"/>
  <c r="AA88" i="9"/>
  <c r="AA89" i="9"/>
  <c r="AA90" i="9"/>
  <c r="AA91" i="9"/>
  <c r="AA92" i="9"/>
  <c r="AA93" i="9"/>
  <c r="AA94" i="9"/>
  <c r="AA95" i="9"/>
  <c r="AA96" i="9"/>
  <c r="AA97" i="9"/>
  <c r="AA98" i="9"/>
  <c r="AA99" i="9"/>
  <c r="AA100" i="9"/>
  <c r="AA101" i="9"/>
  <c r="AA102" i="9"/>
  <c r="AA103" i="9"/>
  <c r="AA104" i="9"/>
  <c r="AA105" i="9"/>
  <c r="AA106" i="9"/>
  <c r="AA107" i="9"/>
  <c r="AA108" i="9"/>
  <c r="AA109" i="9"/>
  <c r="AA110" i="9"/>
  <c r="AA111" i="9"/>
  <c r="AA112" i="9"/>
  <c r="AA113" i="9"/>
  <c r="AA114" i="9"/>
  <c r="AA115" i="9"/>
  <c r="AA116" i="9"/>
  <c r="AA117" i="9"/>
  <c r="AA118" i="9"/>
  <c r="AA119" i="9"/>
  <c r="AA120" i="9"/>
  <c r="AA121" i="9"/>
  <c r="AA122" i="9"/>
  <c r="AA123" i="9"/>
  <c r="AA124" i="9"/>
  <c r="AA125" i="9"/>
  <c r="AA126" i="9"/>
  <c r="AA127" i="9"/>
  <c r="AA128" i="9"/>
  <c r="AA129" i="9"/>
  <c r="AA130" i="9"/>
  <c r="AA131" i="9"/>
  <c r="AA132" i="9"/>
  <c r="AA133" i="9"/>
  <c r="AA134" i="9"/>
  <c r="AA135" i="9"/>
  <c r="AA136" i="9"/>
  <c r="AA137" i="9"/>
  <c r="AA138" i="9"/>
  <c r="AA139" i="9"/>
  <c r="AA140" i="9"/>
  <c r="AA141" i="9"/>
  <c r="AA142" i="9"/>
  <c r="AA143" i="9"/>
  <c r="AA144" i="9"/>
  <c r="AA145" i="9"/>
  <c r="AA146" i="9"/>
  <c r="AA147" i="9"/>
  <c r="AA148" i="9"/>
  <c r="AA149" i="9"/>
  <c r="AA150" i="9"/>
  <c r="AA151" i="9"/>
  <c r="AA152" i="9"/>
  <c r="AA153" i="9"/>
  <c r="AA154" i="9"/>
  <c r="AA155" i="9"/>
  <c r="AA156" i="9"/>
  <c r="AA157" i="9"/>
  <c r="AA158" i="9"/>
  <c r="AA159" i="9"/>
  <c r="AA160" i="9"/>
  <c r="AA161" i="9"/>
  <c r="AA162" i="9"/>
  <c r="AA163" i="9"/>
  <c r="AA164" i="9"/>
  <c r="AA165" i="9"/>
  <c r="AA166" i="9"/>
  <c r="AA167" i="9"/>
  <c r="AA168" i="9"/>
  <c r="AA169" i="9"/>
  <c r="AA170" i="9"/>
  <c r="AA171" i="9"/>
  <c r="AA172" i="9"/>
  <c r="AA173" i="9"/>
  <c r="AA174" i="9"/>
  <c r="AA175" i="9"/>
  <c r="AA176" i="9"/>
  <c r="AA177" i="9"/>
  <c r="AA178" i="9"/>
  <c r="AA179" i="9"/>
  <c r="AA180" i="9"/>
  <c r="AA181" i="9"/>
  <c r="AA182" i="9"/>
  <c r="AA183" i="9"/>
  <c r="AA184" i="9"/>
  <c r="AA185" i="9"/>
  <c r="AA186" i="9"/>
  <c r="AA187" i="9"/>
  <c r="AA188" i="9"/>
  <c r="AA189" i="9"/>
  <c r="AA190" i="9"/>
  <c r="AA191" i="9"/>
  <c r="AA192" i="9"/>
  <c r="AA193" i="9"/>
  <c r="AA194" i="9"/>
  <c r="AA195" i="9"/>
  <c r="AA196" i="9"/>
  <c r="AA197" i="9"/>
  <c r="AA198" i="9"/>
  <c r="AA199" i="9"/>
  <c r="AA200" i="9"/>
  <c r="AA201" i="9"/>
  <c r="AA202" i="9"/>
  <c r="AA203" i="9"/>
  <c r="AA204" i="9"/>
  <c r="AA205" i="9"/>
  <c r="AA206" i="9"/>
  <c r="AA207" i="9"/>
  <c r="AA208" i="9"/>
  <c r="AA209" i="9"/>
  <c r="AA210" i="9"/>
  <c r="AA211" i="9"/>
  <c r="AA212" i="9"/>
  <c r="AA213" i="9"/>
  <c r="AA214" i="9"/>
  <c r="AA215" i="9"/>
  <c r="AA216" i="9"/>
  <c r="AA217" i="9"/>
  <c r="AA218" i="9"/>
  <c r="AA219" i="9"/>
  <c r="AA220" i="9"/>
  <c r="AA221" i="9"/>
  <c r="AA222" i="9"/>
  <c r="AA223" i="9"/>
  <c r="AA224" i="9"/>
  <c r="AA225" i="9"/>
  <c r="AA226" i="9"/>
  <c r="AA227" i="9"/>
  <c r="AA228" i="9"/>
  <c r="AA229" i="9"/>
  <c r="AA230" i="9"/>
  <c r="AA231" i="9"/>
  <c r="AA232" i="9"/>
  <c r="AA233" i="9"/>
  <c r="AA234" i="9"/>
  <c r="AA235" i="9"/>
  <c r="AA236" i="9"/>
  <c r="AA237" i="9"/>
  <c r="AA238" i="9"/>
  <c r="AA239" i="9"/>
  <c r="AA240" i="9"/>
  <c r="AA241" i="9"/>
  <c r="AA242" i="9"/>
  <c r="AA243" i="9"/>
  <c r="AA244" i="9"/>
  <c r="AA245" i="9"/>
  <c r="AA246" i="9"/>
  <c r="AA247" i="9"/>
  <c r="AA248" i="9"/>
  <c r="AA249" i="9"/>
  <c r="AA250" i="9"/>
  <c r="AA251" i="9"/>
  <c r="AA252" i="9"/>
  <c r="AA253" i="9"/>
  <c r="AA254" i="9"/>
  <c r="AA255" i="9"/>
  <c r="AA256" i="9"/>
  <c r="AA257" i="9"/>
  <c r="AA258" i="9"/>
  <c r="AA259" i="9"/>
  <c r="AA260" i="9"/>
  <c r="AA261" i="9"/>
  <c r="AA262" i="9"/>
  <c r="AA263" i="9"/>
  <c r="AA264" i="9"/>
  <c r="AA265" i="9"/>
  <c r="AA266" i="9"/>
  <c r="AA267" i="9"/>
  <c r="AA268" i="9"/>
  <c r="AA269" i="9"/>
  <c r="AA270" i="9"/>
  <c r="AA271" i="9"/>
  <c r="AA272" i="9"/>
  <c r="AA273" i="9"/>
  <c r="AA274" i="9"/>
  <c r="AA275" i="9"/>
  <c r="AA276" i="9"/>
  <c r="AA277" i="9"/>
  <c r="AA278" i="9"/>
  <c r="AA279" i="9"/>
  <c r="AA280" i="9"/>
  <c r="AA281" i="9"/>
  <c r="AA282" i="9"/>
  <c r="AA283" i="9"/>
  <c r="AA284" i="9"/>
  <c r="AA285" i="9"/>
  <c r="AA286" i="9"/>
  <c r="AA287" i="9"/>
  <c r="AA288" i="9"/>
  <c r="AA289" i="9"/>
  <c r="AA290" i="9"/>
  <c r="AA291" i="9"/>
  <c r="AA292" i="9"/>
  <c r="AA293" i="9"/>
  <c r="AA294" i="9"/>
  <c r="AA295" i="9"/>
  <c r="AA296" i="9"/>
  <c r="AA297" i="9"/>
  <c r="AA298" i="9"/>
  <c r="AA299" i="9"/>
  <c r="AA300" i="9"/>
  <c r="AA301" i="9"/>
  <c r="AA302" i="9"/>
  <c r="AA303" i="9"/>
  <c r="AA304" i="9"/>
  <c r="AA305" i="9"/>
  <c r="AA306" i="9"/>
  <c r="AA307" i="9"/>
  <c r="AA308" i="9"/>
  <c r="AA309" i="9"/>
  <c r="AA310" i="9"/>
  <c r="AA311" i="9"/>
  <c r="AA312" i="9"/>
  <c r="AA313" i="9"/>
  <c r="AA314" i="9"/>
  <c r="AA315" i="9"/>
  <c r="AA316" i="9"/>
  <c r="AA317" i="9"/>
  <c r="AA318" i="9"/>
  <c r="AA319" i="9"/>
  <c r="AA320" i="9"/>
  <c r="AA321" i="9"/>
  <c r="AA322" i="9"/>
  <c r="AA323" i="9"/>
  <c r="AA324" i="9"/>
  <c r="AA325" i="9"/>
  <c r="AA326" i="9"/>
  <c r="AA327" i="9"/>
  <c r="AA328" i="9"/>
  <c r="AA329" i="9"/>
  <c r="AA330" i="9"/>
  <c r="AA331" i="9"/>
  <c r="AA332" i="9"/>
  <c r="AA333" i="9"/>
  <c r="AA334" i="9"/>
  <c r="AA335" i="9"/>
  <c r="AA336" i="9"/>
  <c r="AA337" i="9"/>
  <c r="AA338" i="9"/>
  <c r="AA339" i="9"/>
  <c r="AA340" i="9"/>
  <c r="AA341" i="9"/>
  <c r="AA342" i="9"/>
  <c r="AA343" i="9"/>
  <c r="AA344" i="9"/>
  <c r="AA345" i="9"/>
  <c r="AA346" i="9"/>
  <c r="AA347" i="9"/>
  <c r="AA348" i="9"/>
  <c r="AA349" i="9"/>
  <c r="AA350" i="9"/>
  <c r="AA351" i="9"/>
  <c r="AA352" i="9"/>
  <c r="AA353" i="9"/>
  <c r="AA354" i="9"/>
  <c r="AA355" i="9"/>
  <c r="AA356" i="9"/>
  <c r="AA357" i="9"/>
  <c r="AA358" i="9"/>
  <c r="AA359" i="9"/>
  <c r="AA360" i="9"/>
  <c r="AA361" i="9"/>
  <c r="AA362" i="9"/>
  <c r="AA363" i="9"/>
  <c r="AA364" i="9"/>
  <c r="AA365" i="9"/>
  <c r="AA366" i="9"/>
  <c r="AA367" i="9"/>
  <c r="AA368" i="9"/>
  <c r="AA369" i="9"/>
  <c r="AA370" i="9"/>
  <c r="AA371" i="9"/>
  <c r="AA372" i="9"/>
  <c r="AA373" i="9"/>
  <c r="AA374" i="9"/>
  <c r="AA375" i="9"/>
  <c r="AA376" i="9"/>
  <c r="AA377" i="9"/>
  <c r="AA378" i="9"/>
  <c r="AA379" i="9"/>
  <c r="AA380" i="9"/>
  <c r="AA381" i="9"/>
  <c r="AA382" i="9"/>
  <c r="AA383" i="9"/>
  <c r="AA384" i="9"/>
  <c r="AA385" i="9"/>
  <c r="AA386" i="9"/>
  <c r="AA387" i="9"/>
  <c r="AA388" i="9"/>
  <c r="AA389" i="9"/>
  <c r="AA390" i="9"/>
  <c r="AA391" i="9"/>
  <c r="AA392" i="9"/>
  <c r="AA393" i="9"/>
  <c r="AA394" i="9"/>
  <c r="AA395" i="9"/>
  <c r="AA396" i="9"/>
  <c r="AA397" i="9"/>
  <c r="AA398" i="9"/>
  <c r="AA399" i="9"/>
  <c r="AA400" i="9"/>
  <c r="AA401" i="9"/>
  <c r="AA402" i="9"/>
  <c r="AA403" i="9"/>
  <c r="AA404" i="9"/>
  <c r="AA405" i="9"/>
  <c r="AA406" i="9"/>
  <c r="AA407" i="9"/>
  <c r="AA408" i="9"/>
  <c r="AA409" i="9"/>
  <c r="AA410" i="9"/>
  <c r="AA411" i="9"/>
  <c r="AA412" i="9"/>
  <c r="AA413" i="9"/>
  <c r="AA414" i="9"/>
  <c r="AA415" i="9"/>
  <c r="AA416" i="9"/>
  <c r="AA417" i="9"/>
  <c r="AA418" i="9"/>
  <c r="AA419" i="9"/>
  <c r="AA420" i="9"/>
  <c r="AA421" i="9"/>
  <c r="AA422" i="9"/>
  <c r="AA423" i="9"/>
  <c r="AA424" i="9"/>
  <c r="AA425" i="9"/>
  <c r="AA426" i="9"/>
  <c r="AA427" i="9"/>
  <c r="AA428" i="9"/>
  <c r="AA429" i="9"/>
  <c r="AA430" i="9"/>
  <c r="AA431" i="9"/>
  <c r="AA432" i="9"/>
  <c r="AA433" i="9"/>
  <c r="AA434" i="9"/>
  <c r="AA435" i="9"/>
  <c r="AA436" i="9"/>
  <c r="AA437" i="9"/>
  <c r="AA438" i="9"/>
  <c r="AA439" i="9"/>
  <c r="AA440" i="9"/>
  <c r="AA441" i="9"/>
  <c r="AA442" i="9"/>
  <c r="AA443" i="9"/>
  <c r="AA444" i="9"/>
  <c r="AA445" i="9"/>
  <c r="AA446" i="9"/>
  <c r="AA447" i="9"/>
  <c r="AA448" i="9"/>
  <c r="AA449" i="9"/>
  <c r="AA450" i="9"/>
  <c r="AA451" i="9"/>
  <c r="AA452" i="9"/>
  <c r="AA453" i="9"/>
  <c r="AA454" i="9"/>
  <c r="AA455" i="9"/>
  <c r="AA456" i="9"/>
  <c r="AA457" i="9"/>
  <c r="AA458" i="9"/>
  <c r="AA459" i="9"/>
  <c r="AA460" i="9"/>
  <c r="AA461" i="9"/>
  <c r="AA462" i="9"/>
  <c r="AA2" i="9"/>
  <c r="X10" i="9"/>
  <c r="Z40" i="9" l="1"/>
  <c r="Z14" i="9"/>
  <c r="Z3" i="9" l="1"/>
  <c r="Z4" i="9"/>
  <c r="Z5" i="9"/>
  <c r="Z6" i="9"/>
  <c r="Z7" i="9"/>
  <c r="Z8" i="9"/>
  <c r="Z9" i="9"/>
  <c r="Z10" i="9"/>
  <c r="Z11" i="9"/>
  <c r="Z12" i="9"/>
  <c r="Z13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32" i="9"/>
  <c r="Z33" i="9"/>
  <c r="Z34" i="9"/>
  <c r="Z35" i="9"/>
  <c r="Z36" i="9"/>
  <c r="Z37" i="9"/>
  <c r="Z38" i="9"/>
  <c r="Z39" i="9"/>
  <c r="Z41" i="9"/>
  <c r="Z42" i="9"/>
  <c r="Z43" i="9"/>
  <c r="Z44" i="9"/>
  <c r="Z45" i="9"/>
  <c r="Z46" i="9"/>
  <c r="Z47" i="9"/>
  <c r="Z48" i="9"/>
  <c r="Z49" i="9"/>
  <c r="Z50" i="9"/>
  <c r="Z51" i="9"/>
  <c r="Z52" i="9"/>
  <c r="Z53" i="9"/>
  <c r="Z54" i="9"/>
  <c r="Z55" i="9"/>
  <c r="Z56" i="9"/>
  <c r="Z57" i="9"/>
  <c r="Z58" i="9"/>
  <c r="Z59" i="9"/>
  <c r="Z60" i="9"/>
  <c r="Z61" i="9"/>
  <c r="Z62" i="9"/>
  <c r="Z63" i="9"/>
  <c r="Z64" i="9"/>
  <c r="Z65" i="9"/>
  <c r="Z66" i="9"/>
  <c r="Z67" i="9"/>
  <c r="Z68" i="9"/>
  <c r="Z69" i="9"/>
  <c r="Z70" i="9"/>
  <c r="Z71" i="9"/>
  <c r="Z72" i="9"/>
  <c r="Z73" i="9"/>
  <c r="Z74" i="9"/>
  <c r="Z75" i="9"/>
  <c r="Z76" i="9"/>
  <c r="Z77" i="9"/>
  <c r="Z78" i="9"/>
  <c r="Z79" i="9"/>
  <c r="Z80" i="9"/>
  <c r="Z81" i="9"/>
  <c r="Z82" i="9"/>
  <c r="Z83" i="9"/>
  <c r="Z84" i="9"/>
  <c r="Z85" i="9"/>
  <c r="Z86" i="9"/>
  <c r="Z87" i="9"/>
  <c r="Z88" i="9"/>
  <c r="Z89" i="9"/>
  <c r="Z90" i="9"/>
  <c r="Z91" i="9"/>
  <c r="Z92" i="9"/>
  <c r="Z93" i="9"/>
  <c r="Z94" i="9"/>
  <c r="Z95" i="9"/>
  <c r="Z96" i="9"/>
  <c r="Z97" i="9"/>
  <c r="Z98" i="9"/>
  <c r="Z99" i="9"/>
  <c r="Z100" i="9"/>
  <c r="Z101" i="9"/>
  <c r="Z102" i="9"/>
  <c r="Z103" i="9"/>
  <c r="Z104" i="9"/>
  <c r="Z105" i="9"/>
  <c r="Z106" i="9"/>
  <c r="Z107" i="9"/>
  <c r="Z108" i="9"/>
  <c r="Z109" i="9"/>
  <c r="Z110" i="9"/>
  <c r="Z111" i="9"/>
  <c r="Z112" i="9"/>
  <c r="Z113" i="9"/>
  <c r="Z114" i="9"/>
  <c r="Z115" i="9"/>
  <c r="Z116" i="9"/>
  <c r="Z117" i="9"/>
  <c r="Z118" i="9"/>
  <c r="Z119" i="9"/>
  <c r="Z120" i="9"/>
  <c r="Z121" i="9"/>
  <c r="Z122" i="9"/>
  <c r="Z123" i="9"/>
  <c r="Z124" i="9"/>
  <c r="Z125" i="9"/>
  <c r="Z126" i="9"/>
  <c r="Z127" i="9"/>
  <c r="Z128" i="9"/>
  <c r="Z129" i="9"/>
  <c r="Z130" i="9"/>
  <c r="Z131" i="9"/>
  <c r="Z132" i="9"/>
  <c r="Z133" i="9"/>
  <c r="Z134" i="9"/>
  <c r="Z135" i="9"/>
  <c r="Z136" i="9"/>
  <c r="Z137" i="9"/>
  <c r="Z138" i="9"/>
  <c r="Z139" i="9"/>
  <c r="Z140" i="9"/>
  <c r="Z141" i="9"/>
  <c r="Z142" i="9"/>
  <c r="Z143" i="9"/>
  <c r="Z144" i="9"/>
  <c r="Z145" i="9"/>
  <c r="Z146" i="9"/>
  <c r="Z147" i="9"/>
  <c r="Z148" i="9"/>
  <c r="Z149" i="9"/>
  <c r="Z150" i="9"/>
  <c r="Z151" i="9"/>
  <c r="Z152" i="9"/>
  <c r="Z153" i="9"/>
  <c r="Z154" i="9"/>
  <c r="Z155" i="9"/>
  <c r="Z156" i="9"/>
  <c r="Z157" i="9"/>
  <c r="Z158" i="9"/>
  <c r="Z159" i="9"/>
  <c r="Z160" i="9"/>
  <c r="Z161" i="9"/>
  <c r="Z162" i="9"/>
  <c r="Z163" i="9"/>
  <c r="Z164" i="9"/>
  <c r="Z165" i="9"/>
  <c r="Z166" i="9"/>
  <c r="Z167" i="9"/>
  <c r="Z168" i="9"/>
  <c r="Z169" i="9"/>
  <c r="Z170" i="9"/>
  <c r="Z171" i="9"/>
  <c r="Z172" i="9"/>
  <c r="Z173" i="9"/>
  <c r="Z174" i="9"/>
  <c r="Z175" i="9"/>
  <c r="Z176" i="9"/>
  <c r="Z177" i="9"/>
  <c r="Z178" i="9"/>
  <c r="Z179" i="9"/>
  <c r="Z180" i="9"/>
  <c r="Z181" i="9"/>
  <c r="Z182" i="9"/>
  <c r="Z183" i="9"/>
  <c r="Z184" i="9"/>
  <c r="Z185" i="9"/>
  <c r="Z186" i="9"/>
  <c r="Z187" i="9"/>
  <c r="Z188" i="9"/>
  <c r="Z189" i="9"/>
  <c r="Z190" i="9"/>
  <c r="Z191" i="9"/>
  <c r="Z192" i="9"/>
  <c r="Z193" i="9"/>
  <c r="Z194" i="9"/>
  <c r="Z195" i="9"/>
  <c r="Z196" i="9"/>
  <c r="Z197" i="9"/>
  <c r="Z198" i="9"/>
  <c r="Z199" i="9"/>
  <c r="Z200" i="9"/>
  <c r="Z201" i="9"/>
  <c r="Z202" i="9"/>
  <c r="Z203" i="9"/>
  <c r="Z204" i="9"/>
  <c r="Z205" i="9"/>
  <c r="Z206" i="9"/>
  <c r="Z207" i="9"/>
  <c r="Z208" i="9"/>
  <c r="Z209" i="9"/>
  <c r="Z210" i="9"/>
  <c r="Z211" i="9"/>
  <c r="Z212" i="9"/>
  <c r="Z213" i="9"/>
  <c r="Z214" i="9"/>
  <c r="Z215" i="9"/>
  <c r="Z216" i="9"/>
  <c r="Z217" i="9"/>
  <c r="Z218" i="9"/>
  <c r="Z219" i="9"/>
  <c r="Z220" i="9"/>
  <c r="Z221" i="9"/>
  <c r="Z222" i="9"/>
  <c r="Z223" i="9"/>
  <c r="Z224" i="9"/>
  <c r="Z225" i="9"/>
  <c r="Z226" i="9"/>
  <c r="Z227" i="9"/>
  <c r="Z228" i="9"/>
  <c r="Z229" i="9"/>
  <c r="Z230" i="9"/>
  <c r="Z231" i="9"/>
  <c r="Z232" i="9"/>
  <c r="Z233" i="9"/>
  <c r="Z234" i="9"/>
  <c r="Z235" i="9"/>
  <c r="Z236" i="9"/>
  <c r="Z237" i="9"/>
  <c r="Z238" i="9"/>
  <c r="Z239" i="9"/>
  <c r="Z240" i="9"/>
  <c r="Z241" i="9"/>
  <c r="Z242" i="9"/>
  <c r="Z243" i="9"/>
  <c r="Z244" i="9"/>
  <c r="Z245" i="9"/>
  <c r="Z246" i="9"/>
  <c r="Z247" i="9"/>
  <c r="Z248" i="9"/>
  <c r="Z249" i="9"/>
  <c r="Z250" i="9"/>
  <c r="Z251" i="9"/>
  <c r="Z252" i="9"/>
  <c r="Z253" i="9"/>
  <c r="Z254" i="9"/>
  <c r="Z255" i="9"/>
  <c r="Z256" i="9"/>
  <c r="Z257" i="9"/>
  <c r="Z258" i="9"/>
  <c r="Z259" i="9"/>
  <c r="Z260" i="9"/>
  <c r="Z261" i="9"/>
  <c r="Z262" i="9"/>
  <c r="Z263" i="9"/>
  <c r="Z264" i="9"/>
  <c r="Z265" i="9"/>
  <c r="Z266" i="9"/>
  <c r="Z267" i="9"/>
  <c r="Z268" i="9"/>
  <c r="Z269" i="9"/>
  <c r="Z270" i="9"/>
  <c r="Z271" i="9"/>
  <c r="Z272" i="9"/>
  <c r="Z273" i="9"/>
  <c r="Z274" i="9"/>
  <c r="Z275" i="9"/>
  <c r="Z276" i="9"/>
  <c r="Z277" i="9"/>
  <c r="Z278" i="9"/>
  <c r="Z279" i="9"/>
  <c r="Z280" i="9"/>
  <c r="Z281" i="9"/>
  <c r="Z282" i="9"/>
  <c r="Z283" i="9"/>
  <c r="Z284" i="9"/>
  <c r="Z285" i="9"/>
  <c r="Z286" i="9"/>
  <c r="Z287" i="9"/>
  <c r="Z288" i="9"/>
  <c r="Z289" i="9"/>
  <c r="Z290" i="9"/>
  <c r="Z291" i="9"/>
  <c r="Z292" i="9"/>
  <c r="Z293" i="9"/>
  <c r="Z294" i="9"/>
  <c r="Z295" i="9"/>
  <c r="Z296" i="9"/>
  <c r="Z297" i="9"/>
  <c r="Z298" i="9"/>
  <c r="Z299" i="9"/>
  <c r="Z300" i="9"/>
  <c r="Z301" i="9"/>
  <c r="Z302" i="9"/>
  <c r="Z303" i="9"/>
  <c r="Z304" i="9"/>
  <c r="Z305" i="9"/>
  <c r="Z306" i="9"/>
  <c r="Z307" i="9"/>
  <c r="Z308" i="9"/>
  <c r="Z309" i="9"/>
  <c r="Z310" i="9"/>
  <c r="Z311" i="9"/>
  <c r="Z312" i="9"/>
  <c r="Z313" i="9"/>
  <c r="Z314" i="9"/>
  <c r="Z315" i="9"/>
  <c r="Z316" i="9"/>
  <c r="Z317" i="9"/>
  <c r="Z318" i="9"/>
  <c r="Z319" i="9"/>
  <c r="Z320" i="9"/>
  <c r="Z321" i="9"/>
  <c r="Z322" i="9"/>
  <c r="Z323" i="9"/>
  <c r="Z324" i="9"/>
  <c r="Z325" i="9"/>
  <c r="Z326" i="9"/>
  <c r="Z327" i="9"/>
  <c r="Z328" i="9"/>
  <c r="Z329" i="9"/>
  <c r="Z330" i="9"/>
  <c r="Z331" i="9"/>
  <c r="Z332" i="9"/>
  <c r="Z333" i="9"/>
  <c r="Z334" i="9"/>
  <c r="Z335" i="9"/>
  <c r="Z336" i="9"/>
  <c r="Z337" i="9"/>
  <c r="Z338" i="9"/>
  <c r="Z339" i="9"/>
  <c r="Z340" i="9"/>
  <c r="Z341" i="9"/>
  <c r="Z342" i="9"/>
  <c r="Z343" i="9"/>
  <c r="Z344" i="9"/>
  <c r="Z345" i="9"/>
  <c r="Z346" i="9"/>
  <c r="Z347" i="9"/>
  <c r="Z348" i="9"/>
  <c r="Z349" i="9"/>
  <c r="Z350" i="9"/>
  <c r="Z351" i="9"/>
  <c r="Z352" i="9"/>
  <c r="Z353" i="9"/>
  <c r="Z354" i="9"/>
  <c r="Z355" i="9"/>
  <c r="Z356" i="9"/>
  <c r="Z357" i="9"/>
  <c r="Z358" i="9"/>
  <c r="Z359" i="9"/>
  <c r="Z360" i="9"/>
  <c r="Z361" i="9"/>
  <c r="Z362" i="9"/>
  <c r="Z363" i="9"/>
  <c r="Z364" i="9"/>
  <c r="Z365" i="9"/>
  <c r="Z366" i="9"/>
  <c r="Z367" i="9"/>
  <c r="Z368" i="9"/>
  <c r="Z369" i="9"/>
  <c r="Z370" i="9"/>
  <c r="Z371" i="9"/>
  <c r="Z372" i="9"/>
  <c r="Z373" i="9"/>
  <c r="Z374" i="9"/>
  <c r="Z375" i="9"/>
  <c r="Z376" i="9"/>
  <c r="Z377" i="9"/>
  <c r="Z378" i="9"/>
  <c r="Z379" i="9"/>
  <c r="Z380" i="9"/>
  <c r="Z381" i="9"/>
  <c r="Z382" i="9"/>
  <c r="Z383" i="9"/>
  <c r="Z384" i="9"/>
  <c r="Z385" i="9"/>
  <c r="Z386" i="9"/>
  <c r="Z387" i="9"/>
  <c r="Z388" i="9"/>
  <c r="Z389" i="9"/>
  <c r="Z390" i="9"/>
  <c r="Z391" i="9"/>
  <c r="Z392" i="9"/>
  <c r="Z393" i="9"/>
  <c r="Z394" i="9"/>
  <c r="Z395" i="9"/>
  <c r="Z396" i="9"/>
  <c r="Z397" i="9"/>
  <c r="Z398" i="9"/>
  <c r="Z399" i="9"/>
  <c r="Z400" i="9"/>
  <c r="Z401" i="9"/>
  <c r="Z402" i="9"/>
  <c r="Z403" i="9"/>
  <c r="Z404" i="9"/>
  <c r="Z405" i="9"/>
  <c r="Z406" i="9"/>
  <c r="Z407" i="9"/>
  <c r="Z408" i="9"/>
  <c r="Z409" i="9"/>
  <c r="Z410" i="9"/>
  <c r="Z411" i="9"/>
  <c r="Z412" i="9"/>
  <c r="Z413" i="9"/>
  <c r="Z414" i="9"/>
  <c r="Z415" i="9"/>
  <c r="Z416" i="9"/>
  <c r="Z417" i="9"/>
  <c r="Z418" i="9"/>
  <c r="Z419" i="9"/>
  <c r="Z420" i="9"/>
  <c r="Z421" i="9"/>
  <c r="Z422" i="9"/>
  <c r="Z423" i="9"/>
  <c r="Z424" i="9"/>
  <c r="Z425" i="9"/>
  <c r="Z426" i="9"/>
  <c r="Z427" i="9"/>
  <c r="Z428" i="9"/>
  <c r="Z429" i="9"/>
  <c r="Z430" i="9"/>
  <c r="Z431" i="9"/>
  <c r="Z432" i="9"/>
  <c r="Z433" i="9"/>
  <c r="Z434" i="9"/>
  <c r="Z435" i="9"/>
  <c r="Z436" i="9"/>
  <c r="Z437" i="9"/>
  <c r="Z438" i="9"/>
  <c r="Z439" i="9"/>
  <c r="Z440" i="9"/>
  <c r="Z441" i="9"/>
  <c r="Z442" i="9"/>
  <c r="Z443" i="9"/>
  <c r="Z444" i="9"/>
  <c r="Z445" i="9"/>
  <c r="Z446" i="9"/>
  <c r="Z447" i="9"/>
  <c r="Z448" i="9"/>
  <c r="Z449" i="9"/>
  <c r="Z450" i="9"/>
  <c r="Z451" i="9"/>
  <c r="Z452" i="9"/>
  <c r="Z453" i="9"/>
  <c r="Z454" i="9"/>
  <c r="Z455" i="9"/>
  <c r="Z456" i="9"/>
  <c r="Z457" i="9"/>
  <c r="Z458" i="9"/>
  <c r="Z459" i="9"/>
  <c r="Z460" i="9"/>
  <c r="Z461" i="9"/>
  <c r="Z462" i="9"/>
  <c r="X11" i="9" l="1"/>
  <c r="X43" i="9" l="1"/>
  <c r="X146" i="9"/>
  <c r="X147" i="9"/>
  <c r="X148" i="9"/>
  <c r="X149" i="9"/>
  <c r="X150" i="9"/>
  <c r="X151" i="9"/>
  <c r="X152" i="9"/>
  <c r="X153" i="9"/>
  <c r="X154" i="9"/>
  <c r="X155" i="9"/>
  <c r="X156" i="9"/>
  <c r="X157" i="9"/>
  <c r="X158" i="9"/>
  <c r="X159" i="9"/>
  <c r="X160" i="9"/>
  <c r="X161" i="9"/>
  <c r="X162" i="9"/>
  <c r="X163" i="9"/>
  <c r="X164" i="9"/>
  <c r="X165" i="9"/>
  <c r="X166" i="9"/>
  <c r="X167" i="9"/>
  <c r="X168" i="9"/>
  <c r="X169" i="9"/>
  <c r="X170" i="9"/>
  <c r="X171" i="9"/>
  <c r="X172" i="9"/>
  <c r="X173" i="9"/>
  <c r="X174" i="9"/>
  <c r="X175" i="9"/>
  <c r="X176" i="9"/>
  <c r="X177" i="9"/>
  <c r="X178" i="9"/>
  <c r="X179" i="9"/>
  <c r="X180" i="9"/>
  <c r="X181" i="9"/>
  <c r="X182" i="9"/>
  <c r="X183" i="9"/>
  <c r="X184" i="9"/>
  <c r="X185" i="9"/>
  <c r="X186" i="9"/>
  <c r="X187" i="9"/>
  <c r="X188" i="9"/>
  <c r="X189" i="9"/>
  <c r="X190" i="9"/>
  <c r="X191" i="9"/>
  <c r="X192" i="9"/>
  <c r="X193" i="9"/>
  <c r="X194" i="9"/>
  <c r="X195" i="9"/>
  <c r="X196" i="9"/>
  <c r="X197" i="9"/>
  <c r="X198" i="9"/>
  <c r="X199" i="9"/>
  <c r="X200" i="9"/>
  <c r="X201" i="9"/>
  <c r="X202" i="9"/>
  <c r="X203" i="9"/>
  <c r="X204" i="9"/>
  <c r="X205" i="9"/>
  <c r="X206" i="9"/>
  <c r="X207" i="9"/>
  <c r="X208" i="9"/>
  <c r="X209" i="9"/>
  <c r="X210" i="9"/>
  <c r="X211" i="9"/>
  <c r="X212" i="9"/>
  <c r="X213" i="9"/>
  <c r="X214" i="9"/>
  <c r="X215" i="9"/>
  <c r="X216" i="9"/>
  <c r="X217" i="9"/>
  <c r="X218" i="9"/>
  <c r="X219" i="9"/>
  <c r="X220" i="9"/>
  <c r="X221" i="9"/>
  <c r="X222" i="9"/>
  <c r="X223" i="9"/>
  <c r="X224" i="9"/>
  <c r="X225" i="9"/>
  <c r="X226" i="9"/>
  <c r="X227" i="9"/>
  <c r="X228" i="9"/>
  <c r="X229" i="9"/>
  <c r="X230" i="9"/>
  <c r="X231" i="9"/>
  <c r="X232" i="9"/>
  <c r="X233" i="9"/>
  <c r="X234" i="9"/>
  <c r="X235" i="9"/>
  <c r="X236" i="9"/>
  <c r="X237" i="9"/>
  <c r="X238" i="9"/>
  <c r="X239" i="9"/>
  <c r="X240" i="9"/>
  <c r="X241" i="9"/>
  <c r="X242" i="9"/>
  <c r="X243" i="9"/>
  <c r="X244" i="9"/>
  <c r="X245" i="9"/>
  <c r="X246" i="9"/>
  <c r="X247" i="9"/>
  <c r="X248" i="9"/>
  <c r="X249" i="9"/>
  <c r="X250" i="9"/>
  <c r="X251" i="9"/>
  <c r="X252" i="9"/>
  <c r="X253" i="9"/>
  <c r="X254" i="9"/>
  <c r="X255" i="9"/>
  <c r="X256" i="9"/>
  <c r="X257" i="9"/>
  <c r="X258" i="9"/>
  <c r="X259" i="9"/>
  <c r="X260" i="9"/>
  <c r="X261" i="9"/>
  <c r="X262" i="9"/>
  <c r="X263" i="9"/>
  <c r="X264" i="9"/>
  <c r="X265" i="9"/>
  <c r="X266" i="9"/>
  <c r="X267" i="9"/>
  <c r="X268" i="9"/>
  <c r="X269" i="9"/>
  <c r="X270" i="9"/>
  <c r="X271" i="9"/>
  <c r="X272" i="9"/>
  <c r="X273" i="9"/>
  <c r="X274" i="9"/>
  <c r="X275" i="9"/>
  <c r="X276" i="9"/>
  <c r="X277" i="9"/>
  <c r="X278" i="9"/>
  <c r="X279" i="9"/>
  <c r="X280" i="9"/>
  <c r="X281" i="9"/>
  <c r="X282" i="9"/>
  <c r="X283" i="9"/>
  <c r="X284" i="9"/>
  <c r="X285" i="9"/>
  <c r="X286" i="9"/>
  <c r="X287" i="9"/>
  <c r="X288" i="9"/>
  <c r="X289" i="9"/>
  <c r="X290" i="9"/>
  <c r="X291" i="9"/>
  <c r="X292" i="9"/>
  <c r="X293" i="9"/>
  <c r="X294" i="9"/>
  <c r="X295" i="9"/>
  <c r="X296" i="9"/>
  <c r="X297" i="9"/>
  <c r="X298" i="9"/>
  <c r="X299" i="9"/>
  <c r="X300" i="9"/>
  <c r="X301" i="9"/>
  <c r="X302" i="9"/>
  <c r="X303" i="9"/>
  <c r="X304" i="9"/>
  <c r="X305" i="9"/>
  <c r="X306" i="9"/>
  <c r="X307" i="9"/>
  <c r="X308" i="9"/>
  <c r="X309" i="9"/>
  <c r="X310" i="9"/>
  <c r="X311" i="9"/>
  <c r="X312" i="9"/>
  <c r="X313" i="9"/>
  <c r="X314" i="9"/>
  <c r="X315" i="9"/>
  <c r="X316" i="9"/>
  <c r="X317" i="9"/>
  <c r="X318" i="9"/>
  <c r="X319" i="9"/>
  <c r="X320" i="9"/>
  <c r="X321" i="9"/>
  <c r="X322" i="9"/>
  <c r="X323" i="9"/>
  <c r="X324" i="9"/>
  <c r="X325" i="9"/>
  <c r="X326" i="9"/>
  <c r="X327" i="9"/>
  <c r="X328" i="9"/>
  <c r="X329" i="9"/>
  <c r="X330" i="9"/>
  <c r="X331" i="9"/>
  <c r="X332" i="9"/>
  <c r="X333" i="9"/>
  <c r="X334" i="9"/>
  <c r="X335" i="9"/>
  <c r="X336" i="9"/>
  <c r="X337" i="9"/>
  <c r="X338" i="9"/>
  <c r="X339" i="9"/>
  <c r="X340" i="9"/>
  <c r="X341" i="9"/>
  <c r="X342" i="9"/>
  <c r="X343" i="9"/>
  <c r="X344" i="9"/>
  <c r="X345" i="9"/>
  <c r="X346" i="9"/>
  <c r="X347" i="9"/>
  <c r="X348" i="9"/>
  <c r="X349" i="9"/>
  <c r="X350" i="9"/>
  <c r="X351" i="9"/>
  <c r="X352" i="9"/>
  <c r="X353" i="9"/>
  <c r="X354" i="9"/>
  <c r="X355" i="9"/>
  <c r="X356" i="9"/>
  <c r="X357" i="9"/>
  <c r="X358" i="9"/>
  <c r="X359" i="9"/>
  <c r="X360" i="9"/>
  <c r="X361" i="9"/>
  <c r="X362" i="9"/>
  <c r="X363" i="9"/>
  <c r="X364" i="9"/>
  <c r="X365" i="9"/>
  <c r="X366" i="9"/>
  <c r="X367" i="9"/>
  <c r="X368" i="9"/>
  <c r="X369" i="9"/>
  <c r="X370" i="9"/>
  <c r="X371" i="9"/>
  <c r="X372" i="9"/>
  <c r="X373" i="9"/>
  <c r="X374" i="9"/>
  <c r="X375" i="9"/>
  <c r="X376" i="9"/>
  <c r="X377" i="9"/>
  <c r="X378" i="9"/>
  <c r="X379" i="9"/>
  <c r="X380" i="9"/>
  <c r="X381" i="9"/>
  <c r="X382" i="9"/>
  <c r="X383" i="9"/>
  <c r="X384" i="9"/>
  <c r="X385" i="9"/>
  <c r="X386" i="9"/>
  <c r="X387" i="9"/>
  <c r="X388" i="9"/>
  <c r="X389" i="9"/>
  <c r="X390" i="9"/>
  <c r="X391" i="9"/>
  <c r="X392" i="9"/>
  <c r="X393" i="9"/>
  <c r="X394" i="9"/>
  <c r="X395" i="9"/>
  <c r="X396" i="9"/>
  <c r="X397" i="9"/>
  <c r="X398" i="9"/>
  <c r="X399" i="9"/>
  <c r="X400" i="9"/>
  <c r="X401" i="9"/>
  <c r="X402" i="9"/>
  <c r="X403" i="9"/>
  <c r="X404" i="9"/>
  <c r="X405" i="9"/>
  <c r="X406" i="9"/>
  <c r="X407" i="9"/>
  <c r="X408" i="9"/>
  <c r="X409" i="9"/>
  <c r="X410" i="9"/>
  <c r="X411" i="9"/>
  <c r="X412" i="9"/>
  <c r="X413" i="9"/>
  <c r="X414" i="9"/>
  <c r="X415" i="9"/>
  <c r="X416" i="9"/>
  <c r="X417" i="9"/>
  <c r="X418" i="9"/>
  <c r="X419" i="9"/>
  <c r="X420" i="9"/>
  <c r="X421" i="9"/>
  <c r="X422" i="9"/>
  <c r="X423" i="9"/>
  <c r="X424" i="9"/>
  <c r="X425" i="9"/>
  <c r="X426" i="9"/>
  <c r="X427" i="9"/>
  <c r="X428" i="9"/>
  <c r="X429" i="9"/>
  <c r="X430" i="9"/>
  <c r="X431" i="9"/>
  <c r="X432" i="9"/>
  <c r="X433" i="9"/>
  <c r="X434" i="9"/>
  <c r="X435" i="9"/>
  <c r="X436" i="9"/>
  <c r="X437" i="9"/>
  <c r="X438" i="9"/>
  <c r="X439" i="9"/>
  <c r="X440" i="9"/>
  <c r="X441" i="9"/>
  <c r="X442" i="9"/>
  <c r="X443" i="9"/>
  <c r="X444" i="9"/>
  <c r="X445" i="9"/>
  <c r="X446" i="9"/>
  <c r="X447" i="9"/>
  <c r="X448" i="9"/>
  <c r="X449" i="9"/>
  <c r="X450" i="9"/>
  <c r="X451" i="9"/>
  <c r="X452" i="9"/>
  <c r="X453" i="9"/>
  <c r="X454" i="9"/>
  <c r="X455" i="9"/>
  <c r="X456" i="9"/>
  <c r="X457" i="9"/>
  <c r="X458" i="9"/>
  <c r="X459" i="9"/>
  <c r="X460" i="9"/>
  <c r="X461" i="9"/>
  <c r="X462" i="9"/>
  <c r="X138" i="9" l="1"/>
  <c r="X139" i="9"/>
  <c r="X140" i="9"/>
  <c r="X142" i="9"/>
  <c r="X143" i="9"/>
  <c r="X144" i="9"/>
  <c r="X145" i="9"/>
  <c r="X80" i="9" l="1"/>
  <c r="X81" i="9"/>
  <c r="X82" i="9"/>
  <c r="X83" i="9"/>
  <c r="X84" i="9"/>
  <c r="X85" i="9"/>
  <c r="X86" i="9"/>
  <c r="X87" i="9"/>
  <c r="X88" i="9"/>
  <c r="X89" i="9"/>
  <c r="X90" i="9"/>
  <c r="X91" i="9"/>
  <c r="X92" i="9"/>
  <c r="X93" i="9"/>
  <c r="X94" i="9"/>
  <c r="X95" i="9"/>
  <c r="X96" i="9"/>
  <c r="X97" i="9"/>
  <c r="X98" i="9"/>
  <c r="X99" i="9"/>
  <c r="X100" i="9"/>
  <c r="X101" i="9"/>
  <c r="X102" i="9"/>
  <c r="X103" i="9"/>
  <c r="X104" i="9"/>
  <c r="X105" i="9"/>
  <c r="X106" i="9"/>
  <c r="X107" i="9"/>
  <c r="X108" i="9"/>
  <c r="X109" i="9"/>
  <c r="X110" i="9"/>
  <c r="X111" i="9"/>
  <c r="X112" i="9"/>
  <c r="X113" i="9"/>
  <c r="X114" i="9"/>
  <c r="X115" i="9"/>
  <c r="X116" i="9"/>
  <c r="X117" i="9"/>
  <c r="X118" i="9"/>
  <c r="X119" i="9"/>
  <c r="X120" i="9"/>
  <c r="X121" i="9"/>
  <c r="X122" i="9"/>
  <c r="X123" i="9"/>
  <c r="X124" i="9"/>
  <c r="X125" i="9"/>
  <c r="X126" i="9"/>
  <c r="X127" i="9"/>
  <c r="X128" i="9"/>
  <c r="X129" i="9"/>
  <c r="X130" i="9"/>
  <c r="X131" i="9"/>
  <c r="X132" i="9"/>
  <c r="X133" i="9"/>
  <c r="X134" i="9"/>
  <c r="X135" i="9"/>
  <c r="X136" i="9"/>
  <c r="X137" i="9"/>
  <c r="X3" i="9"/>
  <c r="X4" i="9"/>
  <c r="X5" i="9"/>
  <c r="X6" i="9"/>
  <c r="X7" i="9"/>
  <c r="X8" i="9"/>
  <c r="X9" i="9"/>
  <c r="X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32" i="9"/>
  <c r="X33" i="9"/>
  <c r="X34" i="9"/>
  <c r="X35" i="9"/>
  <c r="X36" i="9"/>
  <c r="X37" i="9"/>
  <c r="X38" i="9"/>
  <c r="X39" i="9"/>
  <c r="X40" i="9"/>
  <c r="X41" i="9"/>
  <c r="X42" i="9"/>
  <c r="X44" i="9"/>
  <c r="X45" i="9"/>
  <c r="X46" i="9"/>
  <c r="X47" i="9"/>
  <c r="X48" i="9"/>
  <c r="X49" i="9"/>
  <c r="X50" i="9"/>
  <c r="X51" i="9"/>
  <c r="X52" i="9"/>
  <c r="X53" i="9"/>
  <c r="X54" i="9"/>
  <c r="X55" i="9"/>
  <c r="X56" i="9"/>
  <c r="X57" i="9"/>
  <c r="X58" i="9"/>
  <c r="X59" i="9"/>
  <c r="X60" i="9"/>
  <c r="X61" i="9"/>
  <c r="X62" i="9"/>
  <c r="X63" i="9"/>
  <c r="X64" i="9"/>
  <c r="X65" i="9"/>
  <c r="X66" i="9"/>
  <c r="X67" i="9"/>
  <c r="X68" i="9"/>
  <c r="X69" i="9"/>
  <c r="X70" i="9"/>
  <c r="X71" i="9"/>
  <c r="X72" i="9"/>
  <c r="X73" i="9"/>
  <c r="X74" i="9"/>
  <c r="X75" i="9"/>
  <c r="X76" i="9"/>
  <c r="X77" i="9"/>
  <c r="X78" i="9"/>
  <c r="X79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shahariar asif</author>
  </authors>
  <commentList>
    <comment ref="I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LOV</t>
        </r>
      </text>
    </comment>
    <comment ref="O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Number</t>
        </r>
      </text>
    </comment>
    <comment ref="P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Number</t>
        </r>
      </text>
    </comment>
    <comment ref="Q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LOV</t>
        </r>
      </text>
    </comment>
    <comment ref="U1" authorId="0" shapeId="0" xr:uid="{00000000-0006-0000-0800-000006000000}">
      <text/>
    </comment>
    <comment ref="V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Number</t>
        </r>
      </text>
    </comment>
  </commentList>
</comments>
</file>

<file path=xl/sharedStrings.xml><?xml version="1.0" encoding="utf-8"?>
<sst xmlns="http://schemas.openxmlformats.org/spreadsheetml/2006/main" count="6361" uniqueCount="1116">
  <si>
    <t>NG Item Categories
Major Categories</t>
  </si>
  <si>
    <t>Poly</t>
  </si>
  <si>
    <t>PVC</t>
  </si>
  <si>
    <t>Paper Tube</t>
  </si>
  <si>
    <t>Gum Tape</t>
  </si>
  <si>
    <t>Label</t>
  </si>
  <si>
    <t>Offset</t>
  </si>
  <si>
    <t>Carton</t>
  </si>
  <si>
    <t>Elastic</t>
  </si>
  <si>
    <t>Twill Tape</t>
  </si>
  <si>
    <t>Drawstring</t>
  </si>
  <si>
    <t>Sewing Thread</t>
  </si>
  <si>
    <t>Major 
Categories ID</t>
  </si>
  <si>
    <t>Context Name</t>
  </si>
  <si>
    <t>Item Prefix</t>
  </si>
  <si>
    <t>Packing</t>
  </si>
  <si>
    <t>Labels</t>
  </si>
  <si>
    <t>Stickers</t>
  </si>
  <si>
    <t>Tags</t>
  </si>
  <si>
    <t>Sewing Aceessories</t>
  </si>
  <si>
    <t>Item Prefix
Descriptions</t>
  </si>
  <si>
    <t>PE poly</t>
  </si>
  <si>
    <t>PP Poly</t>
  </si>
  <si>
    <t>HDPE Poly</t>
  </si>
  <si>
    <t>Recycle Poly</t>
  </si>
  <si>
    <t>Roll Poly</t>
  </si>
  <si>
    <t>PVC Bag</t>
  </si>
  <si>
    <t>Zipper Bag</t>
  </si>
  <si>
    <t>Paper Cone</t>
  </si>
  <si>
    <t>Care Label</t>
  </si>
  <si>
    <t>Size Label</t>
  </si>
  <si>
    <t>Woven Label</t>
  </si>
  <si>
    <t>Brand/Main Label</t>
  </si>
  <si>
    <t>Poly Sticker</t>
  </si>
  <si>
    <t>Carton Sticker</t>
  </si>
  <si>
    <t>Transparent Sticker</t>
  </si>
  <si>
    <t>Ru Sticker</t>
  </si>
  <si>
    <t>Cateloge Sticker</t>
  </si>
  <si>
    <t>Week Sticker</t>
  </si>
  <si>
    <t>Okotex Sticker</t>
  </si>
  <si>
    <t>Photo Sticker</t>
  </si>
  <si>
    <t>Shipping Sticker</t>
  </si>
  <si>
    <t>Warning Sticker</t>
  </si>
  <si>
    <t>Vendor Sticker</t>
  </si>
  <si>
    <t>Insert Banner Sticker</t>
  </si>
  <si>
    <t>Tissue</t>
  </si>
  <si>
    <t>Insert</t>
  </si>
  <si>
    <t>Insert Banner</t>
  </si>
  <si>
    <t>MDQ Label</t>
  </si>
  <si>
    <t>Mia Label</t>
  </si>
  <si>
    <t>Washing Paper</t>
  </si>
  <si>
    <t>Bale Paper</t>
  </si>
  <si>
    <t>Booklet</t>
  </si>
  <si>
    <t>Band Roll</t>
  </si>
  <si>
    <t>Inlay Card</t>
  </si>
  <si>
    <t>Paper Box</t>
  </si>
  <si>
    <t>Hanger</t>
  </si>
  <si>
    <t>Header Card</t>
  </si>
  <si>
    <t>Back Board</t>
  </si>
  <si>
    <t>Neck Board</t>
  </si>
  <si>
    <t>Hang Hag</t>
  </si>
  <si>
    <t>Striffiener</t>
  </si>
  <si>
    <t>Pallet</t>
  </si>
  <si>
    <t>Top/Bottom</t>
  </si>
  <si>
    <t>Top Sheet</t>
  </si>
  <si>
    <t>Belt</t>
  </si>
  <si>
    <t>Inner carton</t>
  </si>
  <si>
    <t>Hanger carton</t>
  </si>
  <si>
    <t>Plain Elastic</t>
  </si>
  <si>
    <t>Button Hole Elastic</t>
  </si>
  <si>
    <t>Heringbone Tape</t>
  </si>
  <si>
    <t>Grossgain Tape</t>
  </si>
  <si>
    <t>Fold over Elastic</t>
  </si>
  <si>
    <t>Round Drawstring</t>
  </si>
  <si>
    <t>Tube Drawstring</t>
  </si>
  <si>
    <t>Drawcord</t>
  </si>
  <si>
    <t>Elastic Drawcord</t>
  </si>
  <si>
    <t>Item Name</t>
  </si>
  <si>
    <t>Color / Shade</t>
  </si>
  <si>
    <t>FG UOM</t>
  </si>
  <si>
    <t>Item Desc</t>
  </si>
  <si>
    <t>Length</t>
  </si>
  <si>
    <t>Width</t>
  </si>
  <si>
    <t>UOM</t>
  </si>
  <si>
    <t>Printing Status</t>
  </si>
  <si>
    <t>Design Name</t>
  </si>
  <si>
    <t>ART Number</t>
  </si>
  <si>
    <t xml:space="preserve">Style </t>
  </si>
  <si>
    <t>Paper Name</t>
  </si>
  <si>
    <t>GSM</t>
  </si>
  <si>
    <t>Lamination   
Type</t>
  </si>
  <si>
    <t>Varnish/Coted Type</t>
  </si>
  <si>
    <t>Cutting Type</t>
  </si>
  <si>
    <t>Printed</t>
  </si>
  <si>
    <t>CM</t>
  </si>
  <si>
    <t>Inch</t>
  </si>
  <si>
    <t>MM</t>
  </si>
  <si>
    <t>PCS</t>
  </si>
  <si>
    <t>No Of Color</t>
  </si>
  <si>
    <t>2001.00036004.0001.7481.0000.0000</t>
  </si>
  <si>
    <t>2001.00036943.0001.0000.0000.0000</t>
  </si>
  <si>
    <t>2001.00036349.0001.0000.0000.0000</t>
  </si>
  <si>
    <t>Sticker</t>
  </si>
  <si>
    <t>Invercote Paper Band Roll</t>
  </si>
  <si>
    <t xml:space="preserve">Invercote Paper Band Roll </t>
  </si>
  <si>
    <t>Plastic Band Roll</t>
  </si>
  <si>
    <t>Plastic Card</t>
  </si>
  <si>
    <t>2001.00010364.0001.13804.0000.0000</t>
  </si>
  <si>
    <t>2001.00035605.0001.2935.0000.0000</t>
  </si>
  <si>
    <t>2001.00033866.0001.1279.0000.0000</t>
  </si>
  <si>
    <t>Swedish Board</t>
  </si>
  <si>
    <t>2001.00017902.0001.7435.0000.0000</t>
  </si>
  <si>
    <t xml:space="preserve">Insert </t>
  </si>
  <si>
    <t>2001.00023539.0001.0000.0000.0000</t>
  </si>
  <si>
    <t>2001.00028221.0001.2187.0000.0000</t>
  </si>
  <si>
    <t>2001.00037304.0001.0000.0000.0000</t>
  </si>
  <si>
    <t>2001.00037497.0001.0020.0000.0000</t>
  </si>
  <si>
    <t>2001.00037498.0001.0020.0000.0000</t>
  </si>
  <si>
    <t>2001.00038161.0001.0000.0000.0000</t>
  </si>
  <si>
    <t>Pollar Cutting</t>
  </si>
  <si>
    <t>Solid Bleach Board</t>
  </si>
  <si>
    <t xml:space="preserve">Band Roll </t>
  </si>
  <si>
    <t xml:space="preserve">Glossy </t>
  </si>
  <si>
    <t>2001.00031372.0001.0000.0000.0000</t>
  </si>
  <si>
    <t>2001.00031375.0001.0000.0000.0000</t>
  </si>
  <si>
    <t>2001.00031376.0001.0000.0000.0000</t>
  </si>
  <si>
    <t>2001.00033759.0001.0000.0000.0000</t>
  </si>
  <si>
    <t>Cm</t>
  </si>
  <si>
    <t>Glossy Sticker</t>
  </si>
  <si>
    <t>2001.00035561.0001.0015.0000.0000</t>
  </si>
  <si>
    <t xml:space="preserve">Insert Belly Band Sticker </t>
  </si>
  <si>
    <t>2003.00001866.0001.0000.0000.0000</t>
  </si>
  <si>
    <t>2003.00001878.0001.0000.0000.0000</t>
  </si>
  <si>
    <t>Insert Belly Band Sticker</t>
  </si>
  <si>
    <t>2003.00001886.0001.0000.0000.0000</t>
  </si>
  <si>
    <t>2003.00001907.0001.0000.0000.0000</t>
  </si>
  <si>
    <t>2003.00001916.0001.0000.0000.0000</t>
  </si>
  <si>
    <t xml:space="preserve">Carton Sticker </t>
  </si>
  <si>
    <t>2003.00010812.0001.0000.0000.0000</t>
  </si>
  <si>
    <t>2003.00012254.0001.0020.0000.0000</t>
  </si>
  <si>
    <t>SET</t>
  </si>
  <si>
    <t>Solid Card</t>
  </si>
  <si>
    <t>2001.00018639.0001.0000.0000.0000</t>
  </si>
  <si>
    <t>2001.00032265.0001.0000.0000.0000</t>
  </si>
  <si>
    <t>2001.00032287.0001.0000.0000.0000</t>
  </si>
  <si>
    <t>2001.00032462.0001.0000.0000.0000</t>
  </si>
  <si>
    <t>2001.00033239.0001.0000.0000.0000</t>
  </si>
  <si>
    <t>Barcode Sticker</t>
  </si>
  <si>
    <t>Offset Sticker</t>
  </si>
  <si>
    <t>2003.00005009.0001.0000.0000.0000</t>
  </si>
  <si>
    <t>2004.00026122.0001.0000.0000.0000</t>
  </si>
  <si>
    <t>2001.00031999.0001.0000.0000.0000</t>
  </si>
  <si>
    <t>2001.00032029.0001.0000.0000.0000</t>
  </si>
  <si>
    <t>2001.00036211.0001.0000.0000.0000</t>
  </si>
  <si>
    <t>2003.00010494.0001.0000.0000.0000</t>
  </si>
  <si>
    <t>Hang Tag</t>
  </si>
  <si>
    <t xml:space="preserve">Die Cutting </t>
  </si>
  <si>
    <t>White Craft</t>
  </si>
  <si>
    <t>2001.00032422.0001.0038.0000.0000</t>
  </si>
  <si>
    <t>Paper Band Roll</t>
  </si>
  <si>
    <t>2001.00036276.0001.12115.0000.0000</t>
  </si>
  <si>
    <t>2001.00038873.0001.0000.0000.0000</t>
  </si>
  <si>
    <t>2001.00038874.0001.0000.0000.0000</t>
  </si>
  <si>
    <t>2003.00000024.0001.0000.0000.0000</t>
  </si>
  <si>
    <t>2007.00000322.0001.0000.0000.0000</t>
  </si>
  <si>
    <t>5055.00003089.0001.0002.0000.0000</t>
  </si>
  <si>
    <t>Matt</t>
  </si>
  <si>
    <t>1901.00000424.0001.0000.0000.0000</t>
  </si>
  <si>
    <t>1901.00000426.0001.0000.0000.0000</t>
  </si>
  <si>
    <t>TRANSPERANT STICKER</t>
  </si>
  <si>
    <t>2003.00008221.0001.0000.0000.0000</t>
  </si>
  <si>
    <t>2003.00011798.0001.0000.0000.0000</t>
  </si>
  <si>
    <t>Belly Band</t>
  </si>
  <si>
    <t>Kraft Paper</t>
  </si>
  <si>
    <t>2001.00038880.0001.0000.0000.0000</t>
  </si>
  <si>
    <t xml:space="preserve">Belly Band </t>
  </si>
  <si>
    <t>2001.00038881.0001.0000.0000.0000</t>
  </si>
  <si>
    <t>2001.00038882.0001.0000.0000.0000</t>
  </si>
  <si>
    <t>2001.00038884.0001.0000.0000.0000</t>
  </si>
  <si>
    <t>2001.00038891.0001.0000.0000.0000</t>
  </si>
  <si>
    <t>2001.00038892.0001.0000.0000.0000</t>
  </si>
  <si>
    <t>Set Barcode</t>
  </si>
  <si>
    <t>2003.00011706.0001.0000.0000.0000</t>
  </si>
  <si>
    <t>2001.00038750.0001.0000.0000.0000</t>
  </si>
  <si>
    <t>2003.00011975.0001.0000.0000.0000</t>
  </si>
  <si>
    <t>Offset Paper</t>
  </si>
  <si>
    <t>2001.00029398.0001.0000.0000.0000</t>
  </si>
  <si>
    <t>Duplex Board</t>
  </si>
  <si>
    <t>2001.00029401.0001.0000.0000.0000</t>
  </si>
  <si>
    <t>2001.00029404.0001.0000.0000.0000</t>
  </si>
  <si>
    <t>2001.00030361.0001.0000.0000.0000</t>
  </si>
  <si>
    <t>2001.00031927.0001.0000.0000.0000</t>
  </si>
  <si>
    <t>2001.00033202.0001.0000.0000.0000</t>
  </si>
  <si>
    <t>2001.00033205.0001.0000.0000.0000</t>
  </si>
  <si>
    <t>2001.00033440.0001.0000.0000.0000</t>
  </si>
  <si>
    <t>2001.00034514.0001.0000.0000.0000</t>
  </si>
  <si>
    <t>2005.00002122.0001.0000.0000.0000</t>
  </si>
  <si>
    <t>2005.00003275.0001.0000.0000.0000</t>
  </si>
  <si>
    <t>2005.00003277.0001.0000.0000.0000</t>
  </si>
  <si>
    <t>2001.00031755.0001.0000.0000.0000</t>
  </si>
  <si>
    <t>2001.00031757.0001.0000.0000.0000</t>
  </si>
  <si>
    <t>2001.00034998.0001.0000.0000.0000</t>
  </si>
  <si>
    <t>2001.00035005.0001.0000.0000.0000</t>
  </si>
  <si>
    <t>2003.00011800.0001.0000.0000.0000</t>
  </si>
  <si>
    <t>2003.00000179.0001.0000.0000.0000</t>
  </si>
  <si>
    <t>2003.00002068.0001.0000.0000.0000</t>
  </si>
  <si>
    <t>2003.00003996.0001.0000.0000.0000</t>
  </si>
  <si>
    <t>Size Sticker</t>
  </si>
  <si>
    <t>2003.00008613.0001.0000.0000.0000</t>
  </si>
  <si>
    <t>2001.00019825.0001.0000.0000.0000</t>
  </si>
  <si>
    <t>2003.00005111.0001.0000.0000.0000</t>
  </si>
  <si>
    <t xml:space="preserve">Shipping Mark </t>
  </si>
  <si>
    <t>2003.00011718.0001.0000.0000.0000</t>
  </si>
  <si>
    <t>Glossy</t>
  </si>
  <si>
    <t>2001.00037518.0001.0000.0000.0000</t>
  </si>
  <si>
    <t>2003.00012005.0001.0000.0000.0000</t>
  </si>
  <si>
    <t>2003.00011816.0001.0000.0000.0000</t>
  </si>
  <si>
    <t>Box</t>
  </si>
  <si>
    <t>Swedish Board+Liner</t>
  </si>
  <si>
    <t>300+190</t>
  </si>
  <si>
    <t>1901.00000428.0001.0000.0000.0000</t>
  </si>
  <si>
    <t>2001.00033428.0001.0000.0000.0000</t>
  </si>
  <si>
    <t>2001.00037217.0001.0000.0000.0000</t>
  </si>
  <si>
    <t>2003.00011419.0001.0000.0000.0000</t>
  </si>
  <si>
    <t>2001.00031240.0001.0000.0000.0000</t>
  </si>
  <si>
    <t>2001.00038714.0001.0000.0000.0000</t>
  </si>
  <si>
    <t>F-5 B-3</t>
  </si>
  <si>
    <t>2001.00038746.0001.0000.0000.0000</t>
  </si>
  <si>
    <t>2003.00009095.0001.0000.0000.0000</t>
  </si>
  <si>
    <t>2003.00010470.0001.0000.0000.0000</t>
  </si>
  <si>
    <t>2003.00011487.0001.0000.0000.0000</t>
  </si>
  <si>
    <t>2003.00011671.0001.0000.0000.0000</t>
  </si>
  <si>
    <t>2003.00012122.0001.0000.0000.0000</t>
  </si>
  <si>
    <t>2003.00012177.0001.0000.0000.0000</t>
  </si>
  <si>
    <t>Sticker Paper (A4 Size)</t>
  </si>
  <si>
    <t>2006.00600613.0001.0000.0000.0000</t>
  </si>
  <si>
    <t>Die Cutting</t>
  </si>
  <si>
    <t>Art Card</t>
  </si>
  <si>
    <t>Non Printed</t>
  </si>
  <si>
    <t>Solid Bleach Board Width 560 MM</t>
  </si>
  <si>
    <t xml:space="preserve">Carft Paper </t>
  </si>
  <si>
    <t>Transparent Stcker</t>
  </si>
  <si>
    <t xml:space="preserve">MATT </t>
  </si>
  <si>
    <t>Transparency Sticker</t>
  </si>
  <si>
    <t>Duplex</t>
  </si>
  <si>
    <t>Front+Back/4+2</t>
  </si>
  <si>
    <t>art Card</t>
  </si>
  <si>
    <t xml:space="preserve">Insert Belly Band </t>
  </si>
  <si>
    <t>Manufactured</t>
  </si>
  <si>
    <t>None</t>
  </si>
  <si>
    <t>2001.00032203.0001.8361.0000.0000</t>
  </si>
  <si>
    <t>2001.00032208.0001.8361.0000.0000</t>
  </si>
  <si>
    <t>2001.00032213.0001.8361.0000.0000</t>
  </si>
  <si>
    <t>2001.00032225.0001.0002.0000.0000</t>
  </si>
  <si>
    <t>2001.00034168.0001.1521.0000.0000</t>
  </si>
  <si>
    <t>2001.00034172.0001.1521.0000.0000</t>
  </si>
  <si>
    <t>2001.00034180.0001.1521.0000.0000</t>
  </si>
  <si>
    <t>2001.00034208.0001.20253.0000.0000</t>
  </si>
  <si>
    <t>2001.00036659.0001.19712.0000.0000</t>
  </si>
  <si>
    <t>2005.00003475.0005.0000.0000.0000</t>
  </si>
  <si>
    <t>2001.00038807.0001.0000.0000.0000</t>
  </si>
  <si>
    <t>2001.00038808.0001.0000.0000.0000</t>
  </si>
  <si>
    <t>2001.00038809.0001.0000.0000.0000</t>
  </si>
  <si>
    <t>2001.00038810.0001.0000.0000.0000</t>
  </si>
  <si>
    <t>2003.00012312.0001.0000.0000.0000</t>
  </si>
  <si>
    <t>2003.00012313.0001.0000.0000.0000</t>
  </si>
  <si>
    <t>2003.00012314.0005.0000.0000.0000</t>
  </si>
  <si>
    <t>2001.00037050.0001.0000.0000.0000</t>
  </si>
  <si>
    <t>2001.00013899.0001.0000.0000.0000</t>
  </si>
  <si>
    <t>2001.00033572.0001.0000.0000.0000</t>
  </si>
  <si>
    <t>2003.00005891.0001.0000.0000.0000</t>
  </si>
  <si>
    <t>2003.00012327.0005.0732.0000.0000</t>
  </si>
  <si>
    <t>2003.00012553.0005.0000.0000.0000</t>
  </si>
  <si>
    <t>2005.00003446.0005.0000.0000.0000</t>
  </si>
  <si>
    <t>2005.00003447.0005.0000.0000.0000</t>
  </si>
  <si>
    <t>2005.00003448.0005.0000.0000.0000</t>
  </si>
  <si>
    <t>2005.00003449.0005.0000.0000.0000</t>
  </si>
  <si>
    <t>2005.00003358.0005.0000.0000.0000</t>
  </si>
  <si>
    <t>2005.00003359.0005.0000.0000.0000</t>
  </si>
  <si>
    <t>2005.00003360.0005.0000.0000.0000</t>
  </si>
  <si>
    <t>2005.00003411.0005.0000.0000.0000</t>
  </si>
  <si>
    <t>2005.00003412.0005.0000.0000.0000</t>
  </si>
  <si>
    <t>2005.00003413.0005.0000.0000.0000</t>
  </si>
  <si>
    <t>2001.00035491.0001.0000.0000.0000</t>
  </si>
  <si>
    <t>2001.00035492.0001.0000.0000.0000</t>
  </si>
  <si>
    <t>2001.00015647.0001.0000.0000.0000</t>
  </si>
  <si>
    <t>2001.00035762.0001.0000.0000.0000</t>
  </si>
  <si>
    <t>2001.00037520.0001.0000.0000.0000</t>
  </si>
  <si>
    <t>2001.00038128.0001.0014.0000.0000</t>
  </si>
  <si>
    <t>2003.00011387.0001.0000.0000.0000</t>
  </si>
  <si>
    <t>2003.00012316.0005.0000.0000.0000</t>
  </si>
  <si>
    <t>2005.00003168.0001.0000.0000.0000</t>
  </si>
  <si>
    <t>2005.00003514.0005.0000.0000.0000</t>
  </si>
  <si>
    <t>2001.00036215.0001.2576.0000.0000</t>
  </si>
  <si>
    <t>2005.00003139.0001.0000.0000.0000</t>
  </si>
  <si>
    <t>2001.00039053.0001.0000.0000.0000</t>
  </si>
  <si>
    <t>2001.00039057.0001.0000.0000.0000</t>
  </si>
  <si>
    <t>2001.00039050.0001.0000.0000.0000</t>
  </si>
  <si>
    <t>2001.00039054.0001.0000.0000.0000</t>
  </si>
  <si>
    <t>2001.00013065.0001.0000.0000.0000</t>
  </si>
  <si>
    <t>2001.00039196.0001.0000.0000.0000</t>
  </si>
  <si>
    <t>2001.00039198.0001.0000.0000.0000</t>
  </si>
  <si>
    <t>2003.00000007.0001.0000.0000.0000</t>
  </si>
  <si>
    <t>2003.00000008.0001.0000.0000.0000</t>
  </si>
  <si>
    <t>2003.00000100.0001.0000.0000.0000</t>
  </si>
  <si>
    <t>2007.00000793.0001.0000.0000.0000</t>
  </si>
  <si>
    <t>2001.00038868.0001.0000.0000.0000</t>
  </si>
  <si>
    <t>2003.00012509.0005.0000.0000.0000</t>
  </si>
  <si>
    <t>2003.00012577.0005.0000.0000.0000</t>
  </si>
  <si>
    <t>2003.00012419.0005.0000.0000.0000</t>
  </si>
  <si>
    <t>Insert Baner</t>
  </si>
  <si>
    <t>2001.00036217.0001.0194.0000.0000</t>
  </si>
  <si>
    <t>2005.00000285.0001.0000.0000.0000</t>
  </si>
  <si>
    <t>2001.00028161.0001.0000.0000.0000</t>
  </si>
  <si>
    <t>2003.00012980.0005.0000.0000.0000</t>
  </si>
  <si>
    <t>1901.00000455.0001.0000.0000.0000</t>
  </si>
  <si>
    <t>2001.00037962.0001.0164.0000.0000</t>
  </si>
  <si>
    <t>2003.00012932.0005.0000.0000.0000</t>
  </si>
  <si>
    <t>INCH</t>
  </si>
  <si>
    <t>Matt Varnish</t>
  </si>
  <si>
    <t xml:space="preserve">Matt </t>
  </si>
  <si>
    <t>Die &amp; Pollar Cutting</t>
  </si>
  <si>
    <t xml:space="preserve">Booklet </t>
  </si>
  <si>
    <t>inch</t>
  </si>
  <si>
    <t xml:space="preserve">Plastic Band Roll </t>
  </si>
  <si>
    <t>Palstic Card</t>
  </si>
  <si>
    <t>Craft Paper</t>
  </si>
  <si>
    <t>Insert Belly Band</t>
  </si>
  <si>
    <t>Matt/Glossy</t>
  </si>
  <si>
    <t xml:space="preserve">Size Sticker </t>
  </si>
  <si>
    <t>TRANSPARENCY Sticker</t>
  </si>
  <si>
    <t xml:space="preserve">Pollar Cutting </t>
  </si>
  <si>
    <t>TRANSPARENT STICKER</t>
  </si>
  <si>
    <t xml:space="preserve">Country Paper Size </t>
  </si>
  <si>
    <t>OFFSET PAPER</t>
  </si>
  <si>
    <t>Amlet Board</t>
  </si>
  <si>
    <t>ART Paper</t>
  </si>
  <si>
    <t>Glossy sticker</t>
  </si>
  <si>
    <t>ART CARD</t>
  </si>
  <si>
    <t>OFFSET Sticker</t>
  </si>
  <si>
    <t xml:space="preserve">Barcode Sticker </t>
  </si>
  <si>
    <t xml:space="preserve">Set Barcode </t>
  </si>
  <si>
    <t xml:space="preserve">Hanger </t>
  </si>
  <si>
    <t>White Liner</t>
  </si>
  <si>
    <t>Kraft Liner</t>
  </si>
  <si>
    <t>Box Sticker</t>
  </si>
  <si>
    <t>Tissue Paper</t>
  </si>
  <si>
    <t>Plain Sticker</t>
  </si>
  <si>
    <t>Art card</t>
  </si>
  <si>
    <t>Craft paper</t>
  </si>
  <si>
    <t xml:space="preserve">Solid Blached </t>
  </si>
  <si>
    <t>2001.00032176.0001.8361.0000.0000</t>
  </si>
  <si>
    <t>2001.00034176.0001.1521.0000.0000</t>
  </si>
  <si>
    <t>2001.00035596.0001.8361.0000.0000</t>
  </si>
  <si>
    <t>2001.00036003.0001.7481.0000.0000</t>
  </si>
  <si>
    <t>2001.00036013.0001.19517.0000.0000</t>
  </si>
  <si>
    <t>2001.00036539.0001.0002.0000.0000</t>
  </si>
  <si>
    <t>2001.00036661.0001.19712.0000.0000</t>
  </si>
  <si>
    <t>2001.00037357.0001.0002.0000.0000</t>
  </si>
  <si>
    <t>2001.00037453.0001.0002.0000.0000</t>
  </si>
  <si>
    <t>2001.00037673.0001.0000.0000.0000</t>
  </si>
  <si>
    <t>2001.00016670.0001.0000.0000.0000</t>
  </si>
  <si>
    <t>2001.00016726.0001.0000.0000.0000</t>
  </si>
  <si>
    <t>2001.00029403.0001.0000.0000.0000</t>
  </si>
  <si>
    <t>2001.00031918.0001.0000.0000.0000</t>
  </si>
  <si>
    <t>2001.00031929.0001.0000.0000.0000</t>
  </si>
  <si>
    <t>2001.00033204.0001.0000.0000.0000</t>
  </si>
  <si>
    <t>2001.00034484.0001.0000.0000.0000</t>
  </si>
  <si>
    <t>2001.00034520.0001.0000.0000.0000</t>
  </si>
  <si>
    <t>2001.00034524.0001.0000.0000.0000</t>
  </si>
  <si>
    <t>2001.00035193.0001.0000.0000.0000</t>
  </si>
  <si>
    <t>2001.00035195.0001.0000.0000.0000</t>
  </si>
  <si>
    <t>2001.00035196.0001.0000.0000.0000</t>
  </si>
  <si>
    <t>2001.00035197.0001.0000.0000.0000</t>
  </si>
  <si>
    <t>2001.00035224.0001.0000.0000.0000</t>
  </si>
  <si>
    <t>2001.00035227.0001.0000.0000.0000</t>
  </si>
  <si>
    <t>2001.00035228.0001.0000.0000.0000</t>
  </si>
  <si>
    <t>2001.00036450.0001.0000.0000.0000</t>
  </si>
  <si>
    <t>2001.00036469.0001.0000.0000.0000</t>
  </si>
  <si>
    <t>2001.00036501.0001.0000.0000.0000</t>
  </si>
  <si>
    <t>2001.00037620.0001.0000.0000.0000</t>
  </si>
  <si>
    <t>2001.00037625.0001.0000.0000.0000</t>
  </si>
  <si>
    <t>2001.00037629.0001.0000.0000.0000</t>
  </si>
  <si>
    <t>2001.00037630.0001.0000.0000.0000</t>
  </si>
  <si>
    <t>2001.00030997.0001.0003.0000.0000</t>
  </si>
  <si>
    <t>2001.00034116.0001.0000.0000.0000</t>
  </si>
  <si>
    <t>2001.00017848.0001.0000.0000.0000</t>
  </si>
  <si>
    <t>2001.00017868.0001.0514.0000.0000</t>
  </si>
  <si>
    <t>2001.00023731.0001.0000.0000.0000</t>
  </si>
  <si>
    <t>2001.00018518.0001.0002.0000.0000</t>
  </si>
  <si>
    <t>2001.00037256.0001.0000.0000.0000</t>
  </si>
  <si>
    <t>2001.00037953.0001.0015.0000.0000</t>
  </si>
  <si>
    <t>2001.00037960.0001.0164.0000.0000</t>
  </si>
  <si>
    <t>2001.00037961.0001.0164.0000.0000</t>
  </si>
  <si>
    <t>2001.00038018.0001.0014.0000.0000</t>
  </si>
  <si>
    <t>2001.00038223.0001.30302.0000.0000</t>
  </si>
  <si>
    <t>2001.00038371.0001.0017.0000.0000</t>
  </si>
  <si>
    <t>2001.00038372.0001.0017.0000.0000</t>
  </si>
  <si>
    <t>2001.00038374.0001.0017.0000.0000</t>
  </si>
  <si>
    <t>2001.00038375.0001.0017.0000.0000</t>
  </si>
  <si>
    <t>2001.00038403.0001.0000.0000.0000</t>
  </si>
  <si>
    <t>2001.00038404.0001.0000.0000.0000</t>
  </si>
  <si>
    <t>2001.00038482.0001.0000.0000.0000</t>
  </si>
  <si>
    <t>2001.00038544.0001.0000.0000.0000</t>
  </si>
  <si>
    <t>2001.00038545.0001.0000.0000.0000</t>
  </si>
  <si>
    <t>2001.00038563.0001.0000.0000.0000</t>
  </si>
  <si>
    <t>2001.00038575.0001.0000.0000.0000</t>
  </si>
  <si>
    <t>2001.00038577.0001.0000.0000.0000</t>
  </si>
  <si>
    <t>2001.00038583.0001.0000.0000.0000</t>
  </si>
  <si>
    <t>2001.00031309.0001.0000.0000.0000</t>
  </si>
  <si>
    <t>2001.00031310.0001.0000.0000.0000</t>
  </si>
  <si>
    <t>2001.00033290.0001.0000.0000.0000</t>
  </si>
  <si>
    <t>2001.00038521.0001.0000.0000.0000</t>
  </si>
  <si>
    <t>2001.00038523.0001.0000.0000.0000</t>
  </si>
  <si>
    <t>2001.00038524.0001.0000.0000.0000</t>
  </si>
  <si>
    <t>2001.00038525.0001.0000.0000.0000</t>
  </si>
  <si>
    <t>2001.00038526.0001.0000.0000.0000</t>
  </si>
  <si>
    <t>2001.00023781.0001.0000.0000.0000</t>
  </si>
  <si>
    <t>2001.00025236.0001.0000.0000.0000</t>
  </si>
  <si>
    <t>2001.00026078.0001.0000.0000.0000</t>
  </si>
  <si>
    <t>2001.00029929.0001.0000.0000.0000</t>
  </si>
  <si>
    <t>2001.00029932.0001.0000.0000.0000</t>
  </si>
  <si>
    <t>2001.00032348.0001.0000.0000.0000</t>
  </si>
  <si>
    <t>2001.00032349.0001.0000.0000.0000</t>
  </si>
  <si>
    <t>2001.00032350.0001.0000.0000.0000</t>
  </si>
  <si>
    <t>2001.00032351.0001.0000.0000.0000</t>
  </si>
  <si>
    <t>2001.00032352.0001.0000.0000.0000</t>
  </si>
  <si>
    <t>2001.00032353.0001.0000.0000.0000</t>
  </si>
  <si>
    <t>2001.00032354.0001.0000.0000.0000</t>
  </si>
  <si>
    <t>2001.00032355.0001.0000.0000.0000</t>
  </si>
  <si>
    <t>2001.00032356.0001.0000.0000.0000</t>
  </si>
  <si>
    <t>2001.00032357.0001.0000.0000.0000</t>
  </si>
  <si>
    <t>2001.00033223.0001.0000.0000.0000</t>
  </si>
  <si>
    <t>2001.00038712.0001.0000.0000.0000</t>
  </si>
  <si>
    <t>2001.00038713.0001.0000.0000.0000</t>
  </si>
  <si>
    <t>2001.00038715.0001.0000.0000.0000</t>
  </si>
  <si>
    <t>2001.00035166.0001.0301.0000.0000</t>
  </si>
  <si>
    <t>2001.00036617.0001.0079.0000.0000</t>
  </si>
  <si>
    <t>2001.00036619.0001.0079.0000.0000</t>
  </si>
  <si>
    <t>2001.00036621.0001.0079.0000.0000</t>
  </si>
  <si>
    <t>2001.00034282.0001.0000.0000.0000</t>
  </si>
  <si>
    <t>2003.00011712.0001.0000.0000.0000</t>
  </si>
  <si>
    <t>2003.00011715.0001.0000.0000.0000</t>
  </si>
  <si>
    <t>2003.00010150.0001.0000.0000.0000</t>
  </si>
  <si>
    <t>2003.00012189.0001.0000.0000.0000</t>
  </si>
  <si>
    <t>2001.00035047.0001.0000.0000.0000</t>
  </si>
  <si>
    <t>2001.00035048.0001.0000.0000.0000</t>
  </si>
  <si>
    <t>2001.00035049.0001.0000.0000.0000</t>
  </si>
  <si>
    <t>2001.00036086.0001.0000.0000.0000</t>
  </si>
  <si>
    <t>2001.00037220.0001.0000.0000.0000</t>
  </si>
  <si>
    <t>2003.00000042.0001.0000.0000.0000</t>
  </si>
  <si>
    <t>2003.00008494.0001.0000.0000.0000</t>
  </si>
  <si>
    <t>2003.00010845.0001.0014.0000.0000</t>
  </si>
  <si>
    <t>2003.00010847.0001.0014.0000.0000</t>
  </si>
  <si>
    <t>2003.00011132.0001.0000.0000.0000</t>
  </si>
  <si>
    <t>2003.00011394.0001.0000.0000.0000</t>
  </si>
  <si>
    <t>2003.00011402.0001.0000.0000.0000</t>
  </si>
  <si>
    <t>2005.00002870.0001.0000.0000.0000</t>
  </si>
  <si>
    <t>2003.00011095.0001.0000.0000.0000</t>
  </si>
  <si>
    <t>2001.00028332.0001.8262.0000.0000</t>
  </si>
  <si>
    <t>2003.00000184.0001.0000.0000.0000</t>
  </si>
  <si>
    <t>2003.00008608.0001.0000.0000.0000</t>
  </si>
  <si>
    <t>2001.00032243.0001.0000.0000.0000</t>
  </si>
  <si>
    <t>2001.00032270.0001.0000.0000.0000</t>
  </si>
  <si>
    <t>2001.00032271.0001.0000.0000.0000</t>
  </si>
  <si>
    <t>2001.00032272.0001.0000.0000.0000</t>
  </si>
  <si>
    <t>2001.00032474.0001.0000.0000.0000</t>
  </si>
  <si>
    <t>2001.00032620.0001.0000.0000.0000</t>
  </si>
  <si>
    <t>2001.00032622.0001.0000.0000.0000</t>
  </si>
  <si>
    <t>2001.00032627.0001.0000.0000.0000</t>
  </si>
  <si>
    <t>2001.00032854.0001.0000.0000.0000</t>
  </si>
  <si>
    <t>2001.00013665.0001.0000.0000.0000</t>
  </si>
  <si>
    <t>2001.00028802.0001.0000.0000.0000</t>
  </si>
  <si>
    <t>2001.00034155.0001.0000.0000.0000</t>
  </si>
  <si>
    <t>2001.00034249.0001.0000.0000.0000</t>
  </si>
  <si>
    <t>2001.00034250.0001.0000.0000.0000</t>
  </si>
  <si>
    <t>2001.00036565.0001.0000.0000.0000</t>
  </si>
  <si>
    <t>2001.00037561.0001.0000.0000.0000</t>
  </si>
  <si>
    <t>2001.00038478.0001.0000.0000.0000</t>
  </si>
  <si>
    <t>2001.00038483.0001.0000.0000.0000</t>
  </si>
  <si>
    <t>2001.00038504.0001.35523.0000.0000</t>
  </si>
  <si>
    <t>2001.00038675.0001.0000.0000.0000</t>
  </si>
  <si>
    <t>2001.00038695.0001.0000.0000.0000</t>
  </si>
  <si>
    <t>2003.00000087.0001.0000.0000.0000</t>
  </si>
  <si>
    <t>2003.00007538.0001.0000.0000.0000</t>
  </si>
  <si>
    <t>2003.00007539.0001.0000.0000.0000</t>
  </si>
  <si>
    <t>2003.00008780.0001.0000.0000.0000</t>
  </si>
  <si>
    <t>2003.00008828.0001.0000.0000.0000</t>
  </si>
  <si>
    <t>2003.00010404.0001.0000.0000.0000</t>
  </si>
  <si>
    <t>2003.00010870.0001.0000.0000.0000</t>
  </si>
  <si>
    <t>2003.00010874.0001.0000.0000.0000</t>
  </si>
  <si>
    <t>2003.00010925.0001.0000.0000.0000</t>
  </si>
  <si>
    <t>2003.00011349.0001.0000.0000.0000</t>
  </si>
  <si>
    <t>2003.00011410.0001.0000.0000.0000</t>
  </si>
  <si>
    <t>2003.00011411.0001.0000.0000.0000</t>
  </si>
  <si>
    <t>2003.00011412.0001.0000.0000.0000</t>
  </si>
  <si>
    <t>2003.00011421.0001.0000.0000.0000</t>
  </si>
  <si>
    <t>2003.00011722.0001.0000.0000.0000</t>
  </si>
  <si>
    <t>2003.00011777.0001.0000.0000.0000</t>
  </si>
  <si>
    <t>2003.00011803.0001.0000.0000.0000</t>
  </si>
  <si>
    <t>2003.00011815.0001.0000.0000.0000</t>
  </si>
  <si>
    <t>2003.00011851.0001.0000.0000.0000</t>
  </si>
  <si>
    <t>2003.00012008.0001.0000.0000.0000</t>
  </si>
  <si>
    <t>2003.00012051.0001.0000.0000.0000</t>
  </si>
  <si>
    <t>2003.00012062.0001.0000.0000.0000</t>
  </si>
  <si>
    <t>2003.00012206.0001.0000.0000.0000</t>
  </si>
  <si>
    <t>2003.00012208.0001.0000.0000.0000</t>
  </si>
  <si>
    <t>2003.00012239.0001.0000.0000.0000</t>
  </si>
  <si>
    <t>2003.00012275.0001.0000.0000.0000</t>
  </si>
  <si>
    <t>2003.00012282.0001.0000.0000.0000</t>
  </si>
  <si>
    <t>2003.00012288.0001.0000.0000.0000</t>
  </si>
  <si>
    <t>2003.00012290.0001.0000.0000.0000</t>
  </si>
  <si>
    <t>2003.00012306.0001.0000.0000.0000</t>
  </si>
  <si>
    <t>2001.00033169.0001.0000.0000.0000</t>
  </si>
  <si>
    <t>2001.00033396.0001.0000.0000.0000</t>
  </si>
  <si>
    <t>2001.00033397.0001.0000.0000.0000</t>
  </si>
  <si>
    <t>2003.00002338.0001.0000.0000.0000</t>
  </si>
  <si>
    <t>2003.00011297.0001.0000.0000.0000</t>
  </si>
  <si>
    <t>2003.00011351.0001.0000.0000.0000</t>
  </si>
  <si>
    <t>2003.00011707.0001.0000.0000.0000</t>
  </si>
  <si>
    <t>2001.00032025.0001.0000.0000.0000</t>
  </si>
  <si>
    <t>2001.00032026.0001.0000.0000.0000</t>
  </si>
  <si>
    <t>2001.00032028.0001.0000.0000.0000</t>
  </si>
  <si>
    <t>2001.00032097.0001.0000.0000.0000</t>
  </si>
  <si>
    <t>2001.00032441.0001.0000.0000.0000</t>
  </si>
  <si>
    <t>2001.00033216.0001.0000.0000.0000</t>
  </si>
  <si>
    <t>2001.00033219.0001.0000.0000.0000</t>
  </si>
  <si>
    <t>2001.00033763.0001.0000.0000.0000</t>
  </si>
  <si>
    <t>2003.00010614.0001.0000.0000.0000</t>
  </si>
  <si>
    <t>2003.00010615.0001.0000.0000.0000</t>
  </si>
  <si>
    <t>2003.00010616.0001.0000.0000.0000</t>
  </si>
  <si>
    <t>2003.00012078.0001.0000.0000.0000</t>
  </si>
  <si>
    <t>2003.00010667.0001.0000.0000.0000</t>
  </si>
  <si>
    <t>2003.00011544.0001.0000.0000.0000</t>
  </si>
  <si>
    <t>2003.00011545.0001.0000.0000.0000</t>
  </si>
  <si>
    <t>2001.00014050.0001.0000.0000.0000</t>
  </si>
  <si>
    <t>2001.00029712.0001.0000.0000.0000</t>
  </si>
  <si>
    <t>2001.00032421.0001.0038.0000.0000</t>
  </si>
  <si>
    <t>2001.00032426.0001.0038.0000.0000</t>
  </si>
  <si>
    <t>2001.00033297.0001.0000.0000.0000</t>
  </si>
  <si>
    <t>2001.00033298.0001.0000.0000.0000</t>
  </si>
  <si>
    <t>2001.00033299.0001.0000.0000.0000</t>
  </si>
  <si>
    <t>2001.00034339.0001.0000.0000.0000</t>
  </si>
  <si>
    <t>2001.00036272.0001.21770.0000.0000</t>
  </si>
  <si>
    <t>2001.00038080.0001.0002.0000.0000</t>
  </si>
  <si>
    <t>2001.00038148.0001.23579.0000.0000</t>
  </si>
  <si>
    <t>2005.00003271.0001.0000.0000.0000</t>
  </si>
  <si>
    <t>2001.00038742.0001.0000.0000.0000</t>
  </si>
  <si>
    <t>2001.00038743.0001.0000.0000.0000</t>
  </si>
  <si>
    <t>2001.00038744.0001.0000.0000.0000</t>
  </si>
  <si>
    <t>2001.00038745.0001.0000.0000.0000</t>
  </si>
  <si>
    <t>2001.00014522.0001.0000.0000.0000</t>
  </si>
  <si>
    <t>2001.00026957.0001.0079.0000.0000</t>
  </si>
  <si>
    <t>2001.00028748.0001.0344.0000.0000</t>
  </si>
  <si>
    <t>2001.00029984.0001.0000.0000.0000</t>
  </si>
  <si>
    <t>2001.00032899.0001.0000.0000.0000</t>
  </si>
  <si>
    <t>2001.00032900.0001.0000.0000.0000</t>
  </si>
  <si>
    <t>2001.00033380.0001.0000.0000.0000</t>
  </si>
  <si>
    <t>2001.00033653.0001.0000.0000.0000</t>
  </si>
  <si>
    <t>2001.00036267.0001.0079.0000.0000</t>
  </si>
  <si>
    <t>2001.00037158.0001.0000.0000.0000</t>
  </si>
  <si>
    <t>2001.00014265.0001.0000.0000.0000</t>
  </si>
  <si>
    <t>2001.00024057.0001.0000.0000.0000</t>
  </si>
  <si>
    <t>2001.00031565.0001.0000.0000.0000</t>
  </si>
  <si>
    <t>2001.00034232.0001.0000.0000.0000</t>
  </si>
  <si>
    <t>2001.00034233.0001.0000.0000.0000</t>
  </si>
  <si>
    <t>2001.00034234.0001.0000.0000.0000</t>
  </si>
  <si>
    <t>2005.00002127.0001.0000.0000.0000</t>
  </si>
  <si>
    <t>2005.00003028.0001.0000.0000.0000</t>
  </si>
  <si>
    <t>2005.00003239.0001.0000.0000.0000</t>
  </si>
  <si>
    <t>2007.00000001.0001.0000.0000.0000</t>
  </si>
  <si>
    <t>5045.00002003.0001.0000.0000.0000</t>
  </si>
  <si>
    <t>2001.00033006.0001.0000.0000.0000</t>
  </si>
  <si>
    <t>2003.00000001.0001.0000.0000.0000</t>
  </si>
  <si>
    <t>2003.00000002.0001.0000.0000.0000</t>
  </si>
  <si>
    <t>2003.00000003.0001.0000.0000.0000</t>
  </si>
  <si>
    <t>2003.00000006.0001.0000.0000.0000</t>
  </si>
  <si>
    <t>2003.00000014.0001.0000.0000.0000</t>
  </si>
  <si>
    <t>2003.00000086.0001.0000.0000.0000</t>
  </si>
  <si>
    <t>2003.00000095.0001.0000.0000.0000</t>
  </si>
  <si>
    <t>2003.00000102.0001.0000.0000.0000</t>
  </si>
  <si>
    <t>2003.00000118.0001.0000.0000.0000</t>
  </si>
  <si>
    <t>2003.00000150.0001.0000.0000.0000</t>
  </si>
  <si>
    <t>2003.00000153.0001.0000.0000.0000</t>
  </si>
  <si>
    <t>2003.00000194.0001.0000.0000.0000</t>
  </si>
  <si>
    <t>2003.00003550.0001.0000.0000.0000</t>
  </si>
  <si>
    <t>2003.00007088.0001.0000.0000.0000</t>
  </si>
  <si>
    <t>2003.00009043.0001.0000.0000.0000</t>
  </si>
  <si>
    <t>2003.00009044.0001.0000.0000.0000</t>
  </si>
  <si>
    <t>2003.00009052.0001.0000.0000.0000</t>
  </si>
  <si>
    <t>2003.00009079.0001.0000.0000.0000</t>
  </si>
  <si>
    <t>2003.00009080.0001.0000.0000.0000</t>
  </si>
  <si>
    <t>2003.00009090.0001.0000.0000.0000</t>
  </si>
  <si>
    <t>2003.00009091.0001.0000.0000.0000</t>
  </si>
  <si>
    <t>2003.00009289.0001.0000.0000.0000</t>
  </si>
  <si>
    <t>2003.00009954.0001.0000.0000.0000</t>
  </si>
  <si>
    <t>2003.00010016.0001.0000.0000.0000</t>
  </si>
  <si>
    <t>2003.00010022.0001.0000.0000.0000</t>
  </si>
  <si>
    <t>2003.00012214.0001.0000.0000.0000</t>
  </si>
  <si>
    <t>2005.00002125.0001.0000.0000.0000</t>
  </si>
  <si>
    <t>2001.00021433.0001.0000.0000.0000</t>
  </si>
  <si>
    <t>2001.00022243.0001.0000.0000.0000</t>
  </si>
  <si>
    <t>2001.00036442.0001.0000.0000.0000</t>
  </si>
  <si>
    <t>2001.00036949.0001.0000.0000.0000</t>
  </si>
  <si>
    <t>2003.00004818.0001.0000.0000.0000</t>
  </si>
  <si>
    <t>2001.00018617.0001.0000.0000.0000</t>
  </si>
  <si>
    <t>2001.00033418.0001.0002.0000.0000</t>
  </si>
  <si>
    <t>2001.00038612.0001.0000.0000.0000</t>
  </si>
  <si>
    <t>2003.00001892.0001.0000.0000.0000</t>
  </si>
  <si>
    <t>2003.00010673.0001.0020.0000.0000</t>
  </si>
  <si>
    <t>2003.00010717.0001.0016.0000.0000</t>
  </si>
  <si>
    <t>2003.00010721.0001.0017.0000.0000</t>
  </si>
  <si>
    <t>2003.00010753.0001.0020.0000.0000</t>
  </si>
  <si>
    <t>2003.00010760.0001.30810.0000.0000</t>
  </si>
  <si>
    <t>2001.00018570.0001.8155.0000.0000</t>
  </si>
  <si>
    <t>2001.00029027.0001.0000.0000.0000</t>
  </si>
  <si>
    <t>2001.00036840.0001.0000.0000.0000</t>
  </si>
  <si>
    <t>2001.00038160.0001.0000.0000.0000</t>
  </si>
  <si>
    <t>2001.00038314.0001.0000.0000.0000</t>
  </si>
  <si>
    <t>2003.00007215.0001.0000.0000.0000</t>
  </si>
  <si>
    <t>2003.00011813.0001.0000.0000.0000</t>
  </si>
  <si>
    <t>2003.00012192.0001.0000.0000.0000</t>
  </si>
  <si>
    <t>2003.00012193.0001.0000.0000.0000</t>
  </si>
  <si>
    <t>2003.00012194.0001.0000.0000.0000</t>
  </si>
  <si>
    <t>2003.00012228.0001.0000.0000.0000</t>
  </si>
  <si>
    <t>2003.00012232.0001.0000.0000.0000</t>
  </si>
  <si>
    <t>2003.00012233.0001.0000.0000.0000</t>
  </si>
  <si>
    <t>2003.00012273.0001.0000.0000.0000</t>
  </si>
  <si>
    <t>2001.00034606.0001.0000.0000.0000</t>
  </si>
  <si>
    <t>2001.00036494.0001.0000.0000.0000</t>
  </si>
  <si>
    <t>2001.00036497.0001.0000.0000.0000</t>
  </si>
  <si>
    <t>2001.00038491.0001.0000.0000.0000</t>
  </si>
  <si>
    <t>2003.00011802.0001.0000.0000.0000</t>
  </si>
  <si>
    <t>2003.00011807.0001.0000.0000.0000</t>
  </si>
  <si>
    <t>2001.00013166.0001.0000.0000.0000</t>
  </si>
  <si>
    <t>2005.00000076.0001.0000.0000.0000</t>
  </si>
  <si>
    <t>2005.00000080.0001.0000.0000.0000</t>
  </si>
  <si>
    <t>2005.00000081.0001.0000.0000.0000</t>
  </si>
  <si>
    <t>2005.00000514.0001.0000.0000.0000</t>
  </si>
  <si>
    <t>2005.00003015.0001.0000.0000.0000</t>
  </si>
  <si>
    <t>2005.00003017.0001.0000.0000.0000</t>
  </si>
  <si>
    <t>2005.00003053.0001.0000.0000.0000</t>
  </si>
  <si>
    <t>2005.00003061.0001.0149.0000.0000</t>
  </si>
  <si>
    <t>2005.00003134.0001.19432.0000.0000</t>
  </si>
  <si>
    <t>2005.00003178.0001.0000.0000.0000</t>
  </si>
  <si>
    <t>2005.00003231.0001.0000.0000.0000</t>
  </si>
  <si>
    <t>2005.00003235.0001.0000.0000.0000</t>
  </si>
  <si>
    <t>2005.00003270.0001.0000.0000.0000</t>
  </si>
  <si>
    <t xml:space="preserve">Sticker </t>
  </si>
  <si>
    <t xml:space="preserve">Insert (Front+Back) </t>
  </si>
  <si>
    <t>Insert (Front+Back)</t>
  </si>
  <si>
    <t>Shipping Mark</t>
  </si>
  <si>
    <t>Carton Info Page</t>
  </si>
  <si>
    <t xml:space="preserve">Duplex Board </t>
  </si>
  <si>
    <t xml:space="preserve">Paper Band Roll </t>
  </si>
  <si>
    <t>Paper Tag</t>
  </si>
  <si>
    <t xml:space="preserve">Round Sticker </t>
  </si>
  <si>
    <t>File</t>
  </si>
  <si>
    <t>Catalog Book</t>
  </si>
  <si>
    <t>Adhesive Paper A4</t>
  </si>
  <si>
    <t>Ngrip Paper</t>
  </si>
  <si>
    <t>Skin Paper</t>
  </si>
  <si>
    <t>Sticker Potty</t>
  </si>
  <si>
    <t>Safety First Sticker</t>
  </si>
  <si>
    <t>Matt 60% Glossy 40%</t>
  </si>
  <si>
    <t>Art Card/Duplex Board</t>
  </si>
  <si>
    <t>Product Name</t>
  </si>
  <si>
    <t>Transparent sticker</t>
  </si>
  <si>
    <t>Item</t>
  </si>
  <si>
    <t>Printed Insert  16X12 CM</t>
  </si>
  <si>
    <t>Seg-2</t>
  </si>
  <si>
    <t>Printed Matt/Glossy Insert 12.88X10.1 Inch</t>
  </si>
  <si>
    <t>Printed Matt Shipping Mark 13.2X9.5 CM</t>
  </si>
  <si>
    <t>Printed Matt Sticker 26X8 MM</t>
  </si>
  <si>
    <t>Non Printed Matt Sticker 11.7X8.3 Inch</t>
  </si>
  <si>
    <t>Printed Matt Insert (Front+Back) 13X13 CM</t>
  </si>
  <si>
    <t>Printed Matt Poly Sticker 5X3 CM</t>
  </si>
  <si>
    <t>Printed Matt/Glossy Size Sticker 3X3 CM</t>
  </si>
  <si>
    <t>Printed Matt/Glossy Set Barcode 5.5X5 CM</t>
  </si>
  <si>
    <t>Printed Matt/Glossy Band Roll 85.9X15 CM</t>
  </si>
  <si>
    <t>Printed Matt/Glossy Band Roll 87.9X15 CM</t>
  </si>
  <si>
    <t>Printed Matt/Glossy Band Roll 89.5X15 CM</t>
  </si>
  <si>
    <t>Printed Matt Sticker 2.5X2 Inch</t>
  </si>
  <si>
    <t>Non Printed Matt Transparent Stcker 40X MM</t>
  </si>
  <si>
    <t>Printed Matt Barcode Sticker 4.6X2.5 CM</t>
  </si>
  <si>
    <t>Printed Matt Transparent Stcker 3X2 Inch</t>
  </si>
  <si>
    <t>Printed Matt Hang Tag 14.4X4.4 CM</t>
  </si>
  <si>
    <t xml:space="preserve"> Glossy Adhesive Paper A4 29.7X21 CM</t>
  </si>
  <si>
    <t>Printed Glossy Sticker 9.5X2.75 CM</t>
  </si>
  <si>
    <t>Printed Glossy Carton Sticker 6X5 CM</t>
  </si>
  <si>
    <t>Printed Matt Hang Tag 8X4 CM</t>
  </si>
  <si>
    <t>Printed Matt Hang Tag 4X4 CM</t>
  </si>
  <si>
    <t>Printed Matt Hang Tag 16.5X7 CM</t>
  </si>
  <si>
    <t>Printed Glossy Hang Tag 7.5X5 CM</t>
  </si>
  <si>
    <t>Printed Glossy Hang Tag 10.5X4.5 CM</t>
  </si>
  <si>
    <t>Printed Band Roll 37X17 Inch</t>
  </si>
  <si>
    <t>Printed Band Roll 64.5X10 CM</t>
  </si>
  <si>
    <t>Printed Band Roll 39.5X8 CM</t>
  </si>
  <si>
    <t>Printed Band Roll 65X10 CM</t>
  </si>
  <si>
    <t>Printed Hanger 26X10 CM</t>
  </si>
  <si>
    <t>Printed Insert Baner 69X12 CM</t>
  </si>
  <si>
    <t>Printed Insert Belly Band Sticker 18.16X3.75 Inch</t>
  </si>
  <si>
    <t>Printed Insert Belly Band Sticker 19.74X3.75 Inch</t>
  </si>
  <si>
    <t>Printed Insert Belly Band Sticker 21.32X3.75 Inch</t>
  </si>
  <si>
    <t>Printed Insert Belly Band Sticker 12.66X3.75 Inch</t>
  </si>
  <si>
    <t>Printed Insert Belly Band Sticker 13X3.75 Inch</t>
  </si>
  <si>
    <t>Printed Carton Sticker 4.75X2.25 Inch</t>
  </si>
  <si>
    <t>Printed Barcode Sticker 4X2.9 CM</t>
  </si>
  <si>
    <t>Printed Insert (Front+Back) 9X9 Inch</t>
  </si>
  <si>
    <t>Printed Hang Tag 8X2.5 Inch</t>
  </si>
  <si>
    <t>Printed Insert (Front+Back) 10.75X10.75 Inch</t>
  </si>
  <si>
    <t>Printed Insert (Front+Back) 8.5X10.4 Inch</t>
  </si>
  <si>
    <t>Printed Barcode Sticker 2.4X3.2 Cm</t>
  </si>
  <si>
    <t>Printed Duplex Board 20X14 CM</t>
  </si>
  <si>
    <t>Printed Band Roll 40.5X8 Cm</t>
  </si>
  <si>
    <t>Printed Band Roll 43.5X8 Cm</t>
  </si>
  <si>
    <t>Printed Insert 31X27 Cm</t>
  </si>
  <si>
    <t>Printed Carton Sticker 4.5X3 Cm</t>
  </si>
  <si>
    <t>Printed Band Roll 55X17 CM</t>
  </si>
  <si>
    <t>Printed Paper Band Roll 70X20 CM</t>
  </si>
  <si>
    <t>Printed Sticker 2.25X2.5 CM</t>
  </si>
  <si>
    <t>Printed Sticker 4X3.5 CM</t>
  </si>
  <si>
    <t>Printed Sticker 42X3.2 CM</t>
  </si>
  <si>
    <t>Printed Inlay Card 12X12 CM</t>
  </si>
  <si>
    <t>Non Printed Adhesive Paper A4 11.7X8.3 Inch</t>
  </si>
  <si>
    <t>Printed Band Roll 98.5X15 CM</t>
  </si>
  <si>
    <t>Printed Band Roll 104.5X15 CM</t>
  </si>
  <si>
    <t>Non Printed Round Sticker 6X CM</t>
  </si>
  <si>
    <t>Printed Carton Sticker 7X3 CM</t>
  </si>
  <si>
    <t>Printed Belly Band 60X10 CM</t>
  </si>
  <si>
    <t>Printed Belly Band 61X10 CM</t>
  </si>
  <si>
    <t>Printed Belly Band 65X10 CM</t>
  </si>
  <si>
    <t>Printed Belly Band 59X10 CM</t>
  </si>
  <si>
    <t>Printed Matt Belly Band 31.5X6 CM</t>
  </si>
  <si>
    <t>Printed Matt Belly Band 33X6 CM</t>
  </si>
  <si>
    <t>Printed Barcode Sticker 10X6 CM</t>
  </si>
  <si>
    <t>Printed Insert 25.5X12.5 CM</t>
  </si>
  <si>
    <t>Printed Insert 15.7X8.5 CM</t>
  </si>
  <si>
    <t>Printed Insert 22.5X12.5 CM</t>
  </si>
  <si>
    <t>Printed Hang Tag 10X6 CM</t>
  </si>
  <si>
    <t>Printed Belly Band 42X9 CM</t>
  </si>
  <si>
    <t>Printed Belly Band 41X9 CM</t>
  </si>
  <si>
    <t>Printed Insert 23.3X12.3 CM</t>
  </si>
  <si>
    <t>Printed Band Roll 15.5X12.3 CM</t>
  </si>
  <si>
    <t>Printed Insert 25.5X12.3 CM</t>
  </si>
  <si>
    <t>Printed Insert 27X12.3 CM</t>
  </si>
  <si>
    <t>Printed Barcode Sticker 9.2X1.6 CM</t>
  </si>
  <si>
    <t>Printed Sticker 40X37 MM</t>
  </si>
  <si>
    <t>Printed Size Sticker 20X MM</t>
  </si>
  <si>
    <t>Printed Barcode Sticker 5.7X3.2 CM</t>
  </si>
  <si>
    <t>Printed Set Barcode 5X4 CM</t>
  </si>
  <si>
    <t>Printed Shipping Mark 28X20 CM</t>
  </si>
  <si>
    <t>Printed Belly Band 74X13 CM</t>
  </si>
  <si>
    <t>Printed Sticker 10X7.5 CM</t>
  </si>
  <si>
    <t>Printed Box 24.5X19 CM</t>
  </si>
  <si>
    <t>Printed Insert 12X10 CM</t>
  </si>
  <si>
    <t>Non Printed Tissue Paper 50X25 CM</t>
  </si>
  <si>
    <t>Printed Poly Sticker 4X3 CM</t>
  </si>
  <si>
    <t>Printed Insert (Front+Back) 30.5X28.5 CM</t>
  </si>
  <si>
    <t>Printed Barcode Sticker 3.2X2.7 CM</t>
  </si>
  <si>
    <t>Non Printed Sticker Paper (A4 Size) 29.7X21 CM</t>
  </si>
  <si>
    <t>Printed Invercote Paper Band Roll 20X11 Inch</t>
  </si>
  <si>
    <t>Printed Invercote Paper Band Roll 20.75X11 Inch</t>
  </si>
  <si>
    <t>Printed Invercote Paper Band Roll 21.75X11 Inch</t>
  </si>
  <si>
    <t>Printed Invercote Paper Band Roll 15.5X8 Inch</t>
  </si>
  <si>
    <t>Printed Invercote Paper Band Roll 19.5X11 Inch</t>
  </si>
  <si>
    <t>Printed Invercote Paper Band Roll 22X11 Inch</t>
  </si>
  <si>
    <t>Printed Invercote Paper Band Roll 16X9 Inch</t>
  </si>
  <si>
    <t>Printed Invercote Paper Band Roll 15.5X11 Inch</t>
  </si>
  <si>
    <t>Printed Invercote Paper Band Roll 37.5X12 CM</t>
  </si>
  <si>
    <t>Printed Invercote Paper Band Roll 17X9.25 CM</t>
  </si>
  <si>
    <t>Printed File 145.1X29.7 CM</t>
  </si>
  <si>
    <t>Printed File 85.8X39.7 CM</t>
  </si>
  <si>
    <t>Printed File 58.5X40 CM</t>
  </si>
  <si>
    <t>Printed File 87.75X40 CM</t>
  </si>
  <si>
    <t>Printed Sticker 4X2 Inch</t>
  </si>
  <si>
    <t>Printed Sticker 2X2 Inch</t>
  </si>
  <si>
    <t>Printed Sticker 6X4 Inch</t>
  </si>
  <si>
    <t>Printed Carton Sticker 3X6 Inch</t>
  </si>
  <si>
    <t>Printed Transparent Stcker 5X2 CM</t>
  </si>
  <si>
    <t>Printed Insert Belly Band 80.5X10 CM</t>
  </si>
  <si>
    <t>Printed Carton Sticker 3X1.8 CM</t>
  </si>
  <si>
    <t>Printed Sticker 11X8.5 CM</t>
  </si>
  <si>
    <t>Printed Band Roll 97.65X10 CM</t>
  </si>
  <si>
    <t>Printed Band Roll 80.65X10 CM</t>
  </si>
  <si>
    <t>Printed Band Roll 83.65X10 CM</t>
  </si>
  <si>
    <t>Printed MATT Band Roll 85.65X10 CM</t>
  </si>
  <si>
    <t>Printed Band Roll 86.4X10 CM</t>
  </si>
  <si>
    <t>Printed MATT Band Roll 88.4X10 CM</t>
  </si>
  <si>
    <t>Printed Band Roll 90.4X10 CM</t>
  </si>
  <si>
    <t>Printed Matt Band Roll 77.65X10 CM</t>
  </si>
  <si>
    <t>Printed Matt Band Roll 81.4X10 CM</t>
  </si>
  <si>
    <t>Printed Matt Band Roll 84.4X10 CM</t>
  </si>
  <si>
    <t>Printed Matt Insert 23.5X12.5 CM</t>
  </si>
  <si>
    <t>Printed Matt Insert 24.5X12.5 CM</t>
  </si>
  <si>
    <t>Printed Matt Insert 14.5X7 CM</t>
  </si>
  <si>
    <t>Printed Matt Insert 34.8X25.8 CM</t>
  </si>
  <si>
    <t>Printed Matt Belly Band 48X9.5 CM</t>
  </si>
  <si>
    <t>Printed Insert 15X15 CM</t>
  </si>
  <si>
    <t>Printed Hang Tag 10.5X2.5 CM</t>
  </si>
  <si>
    <t>Printed Hang Tag 5X5 CM</t>
  </si>
  <si>
    <t>Printed Hang Tag 75X55 CM</t>
  </si>
  <si>
    <t>Printed Hang Tag 28.5X16.5 CM</t>
  </si>
  <si>
    <t>Printed Carton Sticker 10X8 CM</t>
  </si>
  <si>
    <t>Printed Carton Sticker 16X12 CM</t>
  </si>
  <si>
    <t>Printed Sticker 16X12 CM</t>
  </si>
  <si>
    <t>Printed Sticker 10X8 CM</t>
  </si>
  <si>
    <t>Printed Hang Tag 6X4 CM</t>
  </si>
  <si>
    <t>Printed Hang Tag 115X65 CM</t>
  </si>
  <si>
    <t>Printed Sticker 55X55 CM</t>
  </si>
  <si>
    <t>Printed Safety First Sticker 70X17 CM</t>
  </si>
  <si>
    <t>Printed Safety First Sticker 10X6 CM</t>
  </si>
  <si>
    <t>Printed Insert Belly Band 30X16 Inch</t>
  </si>
  <si>
    <t>Printed Insert Baner 34X3.75 Inch</t>
  </si>
  <si>
    <t>Printed Insert Belly Band 22X8.5 Inch</t>
  </si>
  <si>
    <t>Printed Glossy Insert Belly Band 21X8.5 Inch</t>
  </si>
  <si>
    <t>Printed Insert Belly Band 25X6.75 CM</t>
  </si>
  <si>
    <t>Printed Glossy Hang Tag 55X55 CM</t>
  </si>
  <si>
    <t>Printed Carton Sticker 8X3 CM</t>
  </si>
  <si>
    <t>Printed Insert 16X12 CM</t>
  </si>
  <si>
    <t>Printed Shipping Mark 13.5X9.5 CM</t>
  </si>
  <si>
    <t>Printed Insert 40X35 CM</t>
  </si>
  <si>
    <t>Printed Insert 25.2X17.6 CM</t>
  </si>
  <si>
    <t>Printed Insert Baner 62X15 CM</t>
  </si>
  <si>
    <t>Printed Invercote Paper Band Roll 28X11 INCH</t>
  </si>
  <si>
    <t>Printed Invercote Paper Band Roll 20.5X11 INCH</t>
  </si>
  <si>
    <t>Printed Invercote Paper Band Roll 20.5X12 INCH</t>
  </si>
  <si>
    <t>Printed Invercote Paper Band Roll 9.25X17 INCH</t>
  </si>
  <si>
    <t>Printed Invercote Paper Band Roll 11X17 INCH</t>
  </si>
  <si>
    <t>Printed Invercote Paper Band Roll 35X12 INCH</t>
  </si>
  <si>
    <t>Printed Invercote Paper Band Roll 38X12 INCH</t>
  </si>
  <si>
    <t>Printed Invercote Paper Band Roll 29X11 INCH</t>
  </si>
  <si>
    <t>Printed Invercote Paper Band Roll 35X17 INCH</t>
  </si>
  <si>
    <t>Printed Invercote Paper Band Roll 34X12 INCH</t>
  </si>
  <si>
    <t>Printed Insert 15.5X12.5 CM</t>
  </si>
  <si>
    <t>Printed Insert 27X12.5 CM</t>
  </si>
  <si>
    <t>Printed Insert 11.5X11.5 CM</t>
  </si>
  <si>
    <t>Printed Insert 24X12.5 CM</t>
  </si>
  <si>
    <t>Printed Insert 16.5X12.5 CM</t>
  </si>
  <si>
    <t>Printed Insert 16.25X12.5 CM</t>
  </si>
  <si>
    <t>Printed Insert 28.5X12.5 CM</t>
  </si>
  <si>
    <t>Printed Matt Insert 29.5X12.5 CM</t>
  </si>
  <si>
    <t>Printed Matt Insert 27X25 CM</t>
  </si>
  <si>
    <t>Printed Matt Insert 27X27 CM</t>
  </si>
  <si>
    <t>Printed Matt Insert 17X12.5 CM</t>
  </si>
  <si>
    <t>Printed Matt Insert 23.25X12.5 CM</t>
  </si>
  <si>
    <t>Printed Matt Insert 22X12.5 CM</t>
  </si>
  <si>
    <t>Printed Matt Insert 23X12.5 CM</t>
  </si>
  <si>
    <t>Printed Matt Insert 36X10.5 CM</t>
  </si>
  <si>
    <t>Printed Matt Insert 38X10.5 CM</t>
  </si>
  <si>
    <t>Printed Matt Insert 40X10.5 CM</t>
  </si>
  <si>
    <t>Printed Matt Insert 42X10.5 CM</t>
  </si>
  <si>
    <t>Printed Matt Insert 34.5X10.5 CM</t>
  </si>
  <si>
    <t>Printed Matt Insert 33X10.5 CM</t>
  </si>
  <si>
    <t>Printed Matt Insert 34X10.5 CM</t>
  </si>
  <si>
    <t>Printed Matt Insert 35.5X10.5 CM</t>
  </si>
  <si>
    <t>Printed Matt Insert 37.5X10.5 CM</t>
  </si>
  <si>
    <t>Printed Matt Insert 37X10.5 CM</t>
  </si>
  <si>
    <t>Printed Matt Insert 36.5X10.5 CM</t>
  </si>
  <si>
    <t>Printed Matt Insert 38.5X10.5 CM</t>
  </si>
  <si>
    <t>Printed Matt Insert 40.5X10.5 CM</t>
  </si>
  <si>
    <t>Printed Matt Insert 42.5X10.5 CM</t>
  </si>
  <si>
    <t>Printed Matt Booklet 20X12 inch</t>
  </si>
  <si>
    <t>Printed Matt Booklet 14.5X10 inch</t>
  </si>
  <si>
    <t>Printed Matt Insert 11X9.25 inch</t>
  </si>
  <si>
    <t>Printed Matt Insert 22X12 inch</t>
  </si>
  <si>
    <t>Printed Matt Insert 14X8.8 inch</t>
  </si>
  <si>
    <t>Printed Matt Insert 14X11 inch</t>
  </si>
  <si>
    <t>Printed Matt Insert 8.75X7 inch</t>
  </si>
  <si>
    <t>Printed Matt Insert 17X7 inch</t>
  </si>
  <si>
    <t>Printed Plastic Band Roll 28X11 inch</t>
  </si>
  <si>
    <t>Printed Plastic Band Roll 12.75X9.25 inch</t>
  </si>
  <si>
    <t>Printed Plastic Band Roll 20.5X9.25 inch</t>
  </si>
  <si>
    <t>Printed Insert Baner 57X15 CM</t>
  </si>
  <si>
    <t>Printed Insert Baner 59.5X15 CM</t>
  </si>
  <si>
    <t>Printed Insert Baner 60.5X15 CM</t>
  </si>
  <si>
    <t>Printed Insert Baner 61X15 CM</t>
  </si>
  <si>
    <t>Printed Insert Baner 53X10 CM</t>
  </si>
  <si>
    <t>Printed Insert Baner 67X15 CM</t>
  </si>
  <si>
    <t>Printed Insert Baner 71X15 CM</t>
  </si>
  <si>
    <t>Printed Insert Baner 75X15 CM</t>
  </si>
  <si>
    <t>Printed Insert Baner 55X10 CM</t>
  </si>
  <si>
    <t>Printed Insert Baner 77X15 CM</t>
  </si>
  <si>
    <t>Printed Insert Baner 79X15 CM</t>
  </si>
  <si>
    <t>Printed Insert Baner 90X15 CM</t>
  </si>
  <si>
    <t>Printed Insert Baner 69X15 CM</t>
  </si>
  <si>
    <t>Printed Insert Baner 73X15 CM</t>
  </si>
  <si>
    <t>Printed Insert Baner 83X15 CM</t>
  </si>
  <si>
    <t>Printed Insert Baner 79X17.6 CM</t>
  </si>
  <si>
    <t>Printed Insert Baner 25.2X17.6 CM</t>
  </si>
  <si>
    <t>Printed Insert Baner 87X15 CM</t>
  </si>
  <si>
    <t>Printed Insert 49.25X26.5 CM</t>
  </si>
  <si>
    <t>Printed Insert 49.75X26.5 CM</t>
  </si>
  <si>
    <t>Printed Insert Baner 90X9 CM</t>
  </si>
  <si>
    <t>Printed Insert Belly Band 84X25 CM</t>
  </si>
  <si>
    <t>Printed Insert Belly Band 85.5X25 CM</t>
  </si>
  <si>
    <t>Printed Insert Belly Band 88X22 CM</t>
  </si>
  <si>
    <t>Printed Insert Belly Band 87X25 CM</t>
  </si>
  <si>
    <t>Printed Insert Belly Band 46X12.5 CM</t>
  </si>
  <si>
    <t>Printed Insert Baner 62X35.5 CM</t>
  </si>
  <si>
    <t>Printed Insert Baner 60X35.5 CM</t>
  </si>
  <si>
    <t>Printed Insert Baner 62X16 CM</t>
  </si>
  <si>
    <t>Printed Insert Baner 59X36 CM</t>
  </si>
  <si>
    <t>Printed Insert Baner 62X10 CM</t>
  </si>
  <si>
    <t>Printed Insert Belly Band 84X10 CM</t>
  </si>
  <si>
    <t>Printed Insert Belly Band 84.5X10 CM</t>
  </si>
  <si>
    <t>Printed Insert Belly Band 86X10 CM</t>
  </si>
  <si>
    <t>Printed Insert Belly Band 86.5X10 CM</t>
  </si>
  <si>
    <t>Printed Insert Belly Band 84X8.5 CM</t>
  </si>
  <si>
    <t>Printed Insert Belly Band 84.5X8.5 CM</t>
  </si>
  <si>
    <t>Printed Insert Belly Band 86X8.5 CM</t>
  </si>
  <si>
    <t>Printed Insert Belly Band 86.5X8.5 CM</t>
  </si>
  <si>
    <t>Printed Insert Belly Band 44.5X10 CM</t>
  </si>
  <si>
    <t>Printed Insert 65X47.5 CM</t>
  </si>
  <si>
    <t>Printed Insert 21.5X15 CM</t>
  </si>
  <si>
    <t>Printed Insert Baner 45X12.5 CM</t>
  </si>
  <si>
    <t>Printed Insert Baner 47X12.5 CM</t>
  </si>
  <si>
    <t>Printed Insert Baner 49X12.5 CM</t>
  </si>
  <si>
    <t>Printed Insert Baner 36X10 CM</t>
  </si>
  <si>
    <t>Printed Insert Baner 61X12 CM</t>
  </si>
  <si>
    <t>Printed Insert Baner 64X12 CM</t>
  </si>
  <si>
    <t>Printed Insert Baner 66X12 CM</t>
  </si>
  <si>
    <t>Printed Insert Baner 68X12 CM</t>
  </si>
  <si>
    <t>Printed Matt/Glossy Band Roll 84.5X10 CM</t>
  </si>
  <si>
    <t>Printed Matt/Glossy Size Sticker 4X CM</t>
  </si>
  <si>
    <t>Printed Matt/Glossy Carton Sticker 21X9.5 CM</t>
  </si>
  <si>
    <t>Printed Band Roll 96.5X15 CM</t>
  </si>
  <si>
    <t>Printed Carton Sticker 12X5.25 CM</t>
  </si>
  <si>
    <t>Printed Sticker Potty 7.5X6.5 CM</t>
  </si>
  <si>
    <t>Printed Sticker 1.25X2 Inch</t>
  </si>
  <si>
    <t>Printed Carton Sticker 11X2.5 CM</t>
  </si>
  <si>
    <t>Printed Photo Sticker 4X3.7 CM</t>
  </si>
  <si>
    <t>Printed Sticker 5X3.5 CM</t>
  </si>
  <si>
    <t>Printed Size Sticker 2X2 CM</t>
  </si>
  <si>
    <t>Printed Insert (Front+Back) 8.75X8.5 Inch</t>
  </si>
  <si>
    <t>Printed Insert (Front+Back) 9X8 Inch</t>
  </si>
  <si>
    <t>Printed Insert (Front+Back) 8.25X9 Inch</t>
  </si>
  <si>
    <t>Printed Insert (Front+Back) 8.75X9 Inch</t>
  </si>
  <si>
    <t>Printed Insert (Front+Back) 11X10.75 Inch</t>
  </si>
  <si>
    <t>Printed Insert (Front+Back) 9X8.5 Inch</t>
  </si>
  <si>
    <t>Printed Insert (Front+Back) 8.5X9 Inch</t>
  </si>
  <si>
    <t>Printed Sticker 10X1.5 CM</t>
  </si>
  <si>
    <t>Printed Country Paper Size 42X29 CM</t>
  </si>
  <si>
    <t>Printed Hang Tag 4.5X10.5 CM</t>
  </si>
  <si>
    <t>Printed Band Roll 28X8.5 CM</t>
  </si>
  <si>
    <t>Printed Belly Band 40X10 CM</t>
  </si>
  <si>
    <t>Printed Belly Band 46X9.5 CM</t>
  </si>
  <si>
    <t>Printed Belly Band 29X8 CM</t>
  </si>
  <si>
    <t>Printed Belly Band 65.5X13 CM</t>
  </si>
  <si>
    <t>Printed Belly Band 73.5X13 CM</t>
  </si>
  <si>
    <t>Printed Shipping Mark 7.8X4 CM</t>
  </si>
  <si>
    <t>Printed Hang Tag 21X5.5 CM</t>
  </si>
  <si>
    <t>Printed Carton Sticker 6.5X6.5 CM</t>
  </si>
  <si>
    <t>Printed Carton Sticker 7X5 CM</t>
  </si>
  <si>
    <t>Printed Set Barcode 4.7X3 CM</t>
  </si>
  <si>
    <t>Printed Barcode Sticker 8X6 CM</t>
  </si>
  <si>
    <t>Printed Set Barcode 4.6X4.6 CM</t>
  </si>
  <si>
    <t>Printed Transparent Stcker 17X2.8 CM</t>
  </si>
  <si>
    <t>Printed Barcode Sticker 5X4 CM</t>
  </si>
  <si>
    <t>Printed Sticker 6X6 CM</t>
  </si>
  <si>
    <t>Printed Sticker 4.5X3 CM</t>
  </si>
  <si>
    <t>Printed Barcode Sticker 3.2X2.4 CM</t>
  </si>
  <si>
    <t>Printed Carton Sticker 10.5X2.6 CM</t>
  </si>
  <si>
    <t>Printed Barcode Sticker 3.2X4.2 CM</t>
  </si>
  <si>
    <t>Printed Sticker 1.2X1 CM</t>
  </si>
  <si>
    <t>Printed Round Sticker 2.5X2.5 CM</t>
  </si>
  <si>
    <t>Printed Barcode Sticker 6.7X3.2 CM</t>
  </si>
  <si>
    <t>Printed Sticker 9X7 CM</t>
  </si>
  <si>
    <t>Printed Shipping Mark 21X15 CM</t>
  </si>
  <si>
    <t>Printed Sticker 4X4 CM</t>
  </si>
  <si>
    <t>Printed Set Barcode 4.5X4.5 CM</t>
  </si>
  <si>
    <t>Printed Set Barcode 5X5 CM</t>
  </si>
  <si>
    <t>Non Printed Round Sticker 16X12 CM</t>
  </si>
  <si>
    <t>Printed Sticker 5X4 CM</t>
  </si>
  <si>
    <t>Printed Carton Sticker 10X7.5 CM</t>
  </si>
  <si>
    <t>Printed Barcode Sticker 4.1X3.5 CM</t>
  </si>
  <si>
    <t>Printed Sticker 7X5 CM</t>
  </si>
  <si>
    <t>Printed Sticker 10X10 CM</t>
  </si>
  <si>
    <t>Printed Carton Sticker 35X5 CM</t>
  </si>
  <si>
    <t>Printed Shipping Mark 20X14 CM</t>
  </si>
  <si>
    <t>Printed Sticker 18X8 CM</t>
  </si>
  <si>
    <t>Printed Shipping Mark 11.9X9 CM</t>
  </si>
  <si>
    <t>Printed Carton Sticker 10X CM</t>
  </si>
  <si>
    <t>Printed Set Barcode 8X3 CM</t>
  </si>
  <si>
    <t>Printed Transparent Stcker 97X30 MM</t>
  </si>
  <si>
    <t>Printed Sticker 5.92X2 CM</t>
  </si>
  <si>
    <t>Printed Barcode Sticker 3.5X3 CM</t>
  </si>
  <si>
    <t>Printed Barcode Sticker 5X3 CM</t>
  </si>
  <si>
    <t>Printed Band Roll 66.5X10 CM</t>
  </si>
  <si>
    <t>Printed Band Roll 40X8 CM</t>
  </si>
  <si>
    <t>Printed Band Roll 36X6 CM</t>
  </si>
  <si>
    <t>Printed Carton Sticker 17X2.5 CM</t>
  </si>
  <si>
    <t>Printed Shipping Mark 15X10 CM</t>
  </si>
  <si>
    <t>Printed Shipping Mark 8.2X8.2 CM</t>
  </si>
  <si>
    <t>Printed Shipping Mark 36X6 CM</t>
  </si>
  <si>
    <t>Printed Band Roll 54X10 CM</t>
  </si>
  <si>
    <t>Printed Band Roll 41.5X8 CM</t>
  </si>
  <si>
    <t>Printed Band Roll 44.5X8 CM</t>
  </si>
  <si>
    <t>Non Printed Round Sticker 4X CM</t>
  </si>
  <si>
    <t>Printed Band Roll 66X10 CM</t>
  </si>
  <si>
    <t>Printed Band Roll 67X10 CM</t>
  </si>
  <si>
    <t>Printed Carton Sticker 3X4.5 CM</t>
  </si>
  <si>
    <t>Printed Sticker 10X5 CM</t>
  </si>
  <si>
    <t>Printed Sticker 1.25X0.5 CM</t>
  </si>
  <si>
    <t>Non Printed Round Sticker 40X MM</t>
  </si>
  <si>
    <t>Printed Sticker 8.5X7.5 CM</t>
  </si>
  <si>
    <t>Printed Sticker 4X1 Inch</t>
  </si>
  <si>
    <t>Printed Band Roll 70X17 CM</t>
  </si>
  <si>
    <t>Printed Band Roll 32.9X6.5 CM</t>
  </si>
  <si>
    <t>Printed Band Roll 54X17 CM</t>
  </si>
  <si>
    <t>Printed Band Roll 40X10 CM</t>
  </si>
  <si>
    <t>Non Printed Paper Band Roll 25X13 CM</t>
  </si>
  <si>
    <t>Non Printed Paper Band Roll 35X13 CM</t>
  </si>
  <si>
    <t>Non Printed Paper Band Roll 40X13 CM</t>
  </si>
  <si>
    <t>Non Printed Paper Band Roll 38X13 CM</t>
  </si>
  <si>
    <t>Printed Band Roll 80X20 CM</t>
  </si>
  <si>
    <t>Printed Band Roll 70X20 CM</t>
  </si>
  <si>
    <t>Printed Band Roll 45X9 CM</t>
  </si>
  <si>
    <t>Printed Paper Band Roll 99X12.05 CM</t>
  </si>
  <si>
    <t>Printed Paper Band Roll 68X12.05 CM</t>
  </si>
  <si>
    <t>Printed Paper Band Roll 47.5X12.05 CM</t>
  </si>
  <si>
    <t>Printed Paper Band Roll 47X12.05 CM</t>
  </si>
  <si>
    <t>Printed Header Card 15.5X6 CM</t>
  </si>
  <si>
    <t>Printed Header Card 20X7 CM</t>
  </si>
  <si>
    <t>Printed Header Card 23.5X11 CM</t>
  </si>
  <si>
    <t>Printed Header Card 14.2X10 CM</t>
  </si>
  <si>
    <t>Printed Header Card 16.5X8 CM</t>
  </si>
  <si>
    <t>Printed Header Card 8X6 CM</t>
  </si>
  <si>
    <t>Printed Header Card 14.9X6.6 CM</t>
  </si>
  <si>
    <t>Printed Header Card 18X15 CM</t>
  </si>
  <si>
    <t>Printed Header Card 24X7 CM</t>
  </si>
  <si>
    <t>Printed Header Card 8X8 CM</t>
  </si>
  <si>
    <t>Printed Adhesive Paper A4 29.7X21 CM</t>
  </si>
  <si>
    <t>Printed Bale Paper 29.7X21 CM</t>
  </si>
  <si>
    <t>Printed Skin Paper 17X13 CM</t>
  </si>
  <si>
    <t>Printed Inlay Card 13X13 CM</t>
  </si>
  <si>
    <t>Printed Inlay Card 17X17 CM</t>
  </si>
  <si>
    <t>Printed Inlay Card 20X20 CM</t>
  </si>
  <si>
    <t>Printed Booklet 42.5X29.7 CM</t>
  </si>
  <si>
    <t>Printed Paper Tag 8X4 CM</t>
  </si>
  <si>
    <t>Printed Inlay Card 14X10.8 CM</t>
  </si>
  <si>
    <t>Printed Bale Paper 97.7X21 CM</t>
  </si>
  <si>
    <t>Printed Carton Info Page 9.5X4 CM</t>
  </si>
  <si>
    <t>Printed Barcode Sticker 9.5X7.4 Inch</t>
  </si>
  <si>
    <t>Printed Carton Sticker 15X12 CM</t>
  </si>
  <si>
    <t>Printed Poly Sticker 4.5X4 CM</t>
  </si>
  <si>
    <t>Printed Sticker 15X10.5 CM</t>
  </si>
  <si>
    <t>Printed Carton Sticker 8X5 CM</t>
  </si>
  <si>
    <t>Printed Poly Sticker 5.2X2.5 CM</t>
  </si>
  <si>
    <t>Printed Poly Sticker 5.6X3.65 CM</t>
  </si>
  <si>
    <t>Printed Carton Sticker 9.4X4 CM</t>
  </si>
  <si>
    <t>Printed Poly Sticker 8X3 CM</t>
  </si>
  <si>
    <t>Printed Carton Sticker 5.5X2.5 CM</t>
  </si>
  <si>
    <t>Printed Poly Sticker 5.5X3.5 CM</t>
  </si>
  <si>
    <t>Printed Box Sticker 10X7 CM</t>
  </si>
  <si>
    <t>Printed Sticker 3X3 Inch</t>
  </si>
  <si>
    <t>Printed Poly Sticker 6X4 CM</t>
  </si>
  <si>
    <t>Printed Hang Tag 5.7X3.2 CM</t>
  </si>
  <si>
    <t>Printed Poly Sticker 6.7X5.1 CM</t>
  </si>
  <si>
    <t>Printed Poly Sticker 5.7X3.5 CM</t>
  </si>
  <si>
    <t>Printed Carton Sticker 15X10 CM</t>
  </si>
  <si>
    <t>Printed Poly Sticker 5.5X5 CM</t>
  </si>
  <si>
    <t>Printed Carton Sticker 20X9 CM</t>
  </si>
  <si>
    <t>Printed Carton Sticker 7X4 CM</t>
  </si>
  <si>
    <t>Printed Band Roll 7.5X7.5 CM</t>
  </si>
  <si>
    <t>Printed Poly Sticker 4.2X3.7 CM</t>
  </si>
  <si>
    <t>Printed Sticker 15X15 CM</t>
  </si>
  <si>
    <t>Printed Barcode Sticker 12.7X7.6 CM</t>
  </si>
  <si>
    <t>Printed Poly Sticker 4.6X4.5 CM</t>
  </si>
  <si>
    <t>Non Printed Tissue Paper 30X27 CM</t>
  </si>
  <si>
    <t>Printed Belly Band 73X15 CM</t>
  </si>
  <si>
    <t>Printed Catalog Book 58.8X21 CM</t>
  </si>
  <si>
    <t>Printed Carton Sticker 6X3 Inch</t>
  </si>
  <si>
    <t>Printed Sticker 4X4 Inch</t>
  </si>
  <si>
    <t>Printed Insert Belly Band 49X6 CM</t>
  </si>
  <si>
    <t>Printed Insert Belly Band 67.6X15 CM</t>
  </si>
  <si>
    <t>Printed Insert Belly Band 45.6X6 CM</t>
  </si>
  <si>
    <t>Printed Insert Belly Band Sticker 54X9.5 CM</t>
  </si>
  <si>
    <t>Printed Insert Belly Band Sticker 41X9.5 CM</t>
  </si>
  <si>
    <t>Printed Insert Belly Band Sticker 46X9.5 CM</t>
  </si>
  <si>
    <t>Printed Insert Belly Band Sticker 50X9.5 CM</t>
  </si>
  <si>
    <t>Printed Insert Belly Band Sticker 32X9.5 CM</t>
  </si>
  <si>
    <t>Printed Insert Belly Band Sticker 33X9.5 CM</t>
  </si>
  <si>
    <t>Printed Sticker 24X9 Inch</t>
  </si>
  <si>
    <t>Printed Paper Band Roll 14X11 Inch</t>
  </si>
  <si>
    <t>Printed Paper Band Roll 22X11 Inch</t>
  </si>
  <si>
    <t>Printed Band Roll 90.5X19 CM</t>
  </si>
  <si>
    <t>Printed Band Roll 80.5X19 CM</t>
  </si>
  <si>
    <t>Printed Sticker 10X7.5 Inch</t>
  </si>
  <si>
    <t>Printed Round Sticker 7X CM</t>
  </si>
  <si>
    <t>Printed Transparent Stcker 77X30 MM</t>
  </si>
  <si>
    <t>Printed Transparent Stcker 72X30 MM</t>
  </si>
  <si>
    <t>Printed Transparent Stcker 117X30 MM</t>
  </si>
  <si>
    <t>Printed Transparent Stcker 97X50 MM</t>
  </si>
  <si>
    <t>Printed Transparent Stcker 107X50 MM</t>
  </si>
  <si>
    <t>Printed Transparent Stcker 157X50 MM</t>
  </si>
  <si>
    <t>Printed Transparent Stcker 145X100 MM</t>
  </si>
  <si>
    <t>Printed Ngrip Paper 28.7X21 CM</t>
  </si>
  <si>
    <t>Printed Belly Band 40.5X9 CM</t>
  </si>
  <si>
    <t>Printed Belly Band 40X15 CM</t>
  </si>
  <si>
    <t>Printed Belly Band 40.5X19 CM</t>
  </si>
  <si>
    <t>Printed Sticker 2X0.75 CM</t>
  </si>
  <si>
    <t>Printed Shipping Mark 7.5X6.5 Inch</t>
  </si>
  <si>
    <t>Printed Hang Tag 7.5X5.5 CM</t>
  </si>
  <si>
    <t>Printed Hang Tag 6X8 CM</t>
  </si>
  <si>
    <t>Printed Hang Tag 7.5X4 CM</t>
  </si>
  <si>
    <t>Printed Hang Tag 14X7 CM</t>
  </si>
  <si>
    <t>Printed Hang Tag 9X7 CM</t>
  </si>
  <si>
    <t>Printed Hang Tag 8X6 CM</t>
  </si>
  <si>
    <t>Printed Hang Tag 7.3X5.5 CM</t>
  </si>
  <si>
    <t>Printed Hang Tag 5X4 CM</t>
  </si>
  <si>
    <t>Printed Hang Tag 7X3 CM</t>
  </si>
  <si>
    <t xml:space="preserve"> Glossy X </t>
  </si>
  <si>
    <t xml:space="preserve">  X </t>
  </si>
  <si>
    <t>des…with Limination type</t>
  </si>
  <si>
    <t>Status/Quality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</si>
</sst>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/>
    </xf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9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12" borderId="1" xfId="0" applyFont="1" applyFill="1" applyBorder="1" applyAlignment="1">
      <alignment vertical="center"/>
    </xf>
    <xf numFmtId="0" fontId="1" fillId="4" borderId="1" xfId="0" applyFont="1" applyFill="1" applyBorder="1"/>
    <xf numFmtId="0" fontId="1" fillId="5" borderId="1" xfId="0" applyFont="1" applyFill="1" applyBorder="1"/>
    <xf numFmtId="0" fontId="1" fillId="8" borderId="1" xfId="0" applyFont="1" applyFill="1" applyBorder="1" applyAlignment="1">
      <alignment horizontal="left"/>
    </xf>
    <xf numFmtId="0" fontId="0" fillId="14" borderId="1" xfId="0" applyFill="1" applyBorder="1" applyAlignment="1">
      <alignment horizontal="left"/>
    </xf>
    <xf numFmtId="0" fontId="8" fillId="14" borderId="1" xfId="0" applyFont="1" applyFill="1" applyBorder="1" applyAlignment="1">
      <alignment horizontal="left" wrapText="1"/>
    </xf>
    <xf numFmtId="0" fontId="9" fillId="14" borderId="1" xfId="0" applyFont="1" applyFill="1" applyBorder="1" applyAlignment="1">
      <alignment horizontal="left"/>
    </xf>
    <xf numFmtId="0" fontId="8" fillId="15" borderId="1" xfId="0" applyFont="1" applyFill="1" applyBorder="1" applyAlignment="1">
      <alignment horizontal="left" wrapText="1"/>
    </xf>
    <xf numFmtId="0" fontId="9" fillId="14" borderId="1" xfId="0" applyFont="1" applyFill="1" applyBorder="1" applyAlignment="1">
      <alignment horizontal="left" vertical="center"/>
    </xf>
    <xf numFmtId="0" fontId="8" fillId="14" borderId="1" xfId="0" applyFont="1" applyFill="1" applyBorder="1" applyAlignment="1">
      <alignment horizontal="left" vertical="center" wrapText="1"/>
    </xf>
    <xf numFmtId="0" fontId="9" fillId="14" borderId="1" xfId="0" applyFont="1" applyFill="1" applyBorder="1" applyAlignment="1">
      <alignment horizontal="left" vertical="center" wrapText="1"/>
    </xf>
    <xf numFmtId="0" fontId="10" fillId="14" borderId="1" xfId="0" applyFont="1" applyFill="1" applyBorder="1" applyAlignment="1">
      <alignment horizontal="left" vertical="center" wrapText="1"/>
    </xf>
    <xf numFmtId="0" fontId="10" fillId="14" borderId="1" xfId="0" applyFont="1" applyFill="1" applyBorder="1" applyAlignment="1">
      <alignment horizontal="left" wrapText="1"/>
    </xf>
    <xf numFmtId="0" fontId="9" fillId="14" borderId="1" xfId="0" applyFont="1" applyFill="1" applyBorder="1" applyAlignment="1">
      <alignment horizontal="left" wrapText="1"/>
    </xf>
    <xf numFmtId="0" fontId="9" fillId="15" borderId="1" xfId="0" applyFont="1" applyFill="1" applyBorder="1" applyAlignment="1">
      <alignment horizontal="left" wrapText="1"/>
    </xf>
    <xf numFmtId="0" fontId="9" fillId="0" borderId="1" xfId="0" applyFont="1" applyBorder="1" applyAlignment="1">
      <alignment horizontal="left"/>
    </xf>
    <xf numFmtId="0" fontId="8" fillId="15" borderId="1" xfId="0" applyFont="1" applyFill="1" applyBorder="1" applyAlignment="1">
      <alignment horizontal="left" vertical="center" wrapText="1"/>
    </xf>
    <xf numFmtId="0" fontId="11" fillId="14" borderId="1" xfId="0" applyFont="1" applyFill="1" applyBorder="1" applyAlignment="1">
      <alignment horizontal="left" wrapText="1"/>
    </xf>
    <xf numFmtId="0" fontId="12" fillId="14" borderId="1" xfId="0" applyFont="1" applyFill="1" applyBorder="1" applyAlignment="1">
      <alignment horizontal="left" wrapText="1"/>
    </xf>
    <xf numFmtId="0" fontId="13" fillId="14" borderId="3" xfId="0" applyFont="1" applyFill="1" applyBorder="1" applyAlignment="1">
      <alignment vertical="center"/>
    </xf>
    <xf numFmtId="0" fontId="6" fillId="13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left" vertical="center"/>
    </xf>
    <xf numFmtId="0" fontId="6" fillId="16" borderId="1" xfId="0" applyFont="1" applyFill="1" applyBorder="1" applyAlignment="1">
      <alignment horizontal="left" vertical="center"/>
    </xf>
    <xf numFmtId="0" fontId="7" fillId="13" borderId="1" xfId="0" applyFont="1" applyFill="1" applyBorder="1" applyAlignment="1">
      <alignment horizontal="left" vertical="center"/>
    </xf>
    <xf numFmtId="0" fontId="6" fillId="16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</cellXfs>
  <cellStyles count="1">
    <cellStyle name="Normal" xfId="0" builtinId="0"/>
  </cellStyles>
  <dxfs count="6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62"/>
  <sheetViews>
    <sheetView workbookViewId="0">
      <selection activeCell="G13" sqref="G13:G16"/>
    </sheetView>
  </sheetViews>
  <sheetFormatPr defaultRowHeight="14.5" x14ac:dyDescent="0.35"/>
  <cols>
    <col min="1" max="1" width="2.7265625" customWidth="1"/>
    <col min="2" max="2" width="17.7265625" customWidth="1"/>
    <col min="3" max="3" width="18.26953125" customWidth="1"/>
    <col min="4" max="4" width="13.7265625" bestFit="1" customWidth="1"/>
    <col min="5" max="5" width="10.7265625" bestFit="1" customWidth="1"/>
    <col min="6" max="6" width="18.54296875" bestFit="1" customWidth="1"/>
    <col min="7" max="7" width="19.54296875" bestFit="1" customWidth="1"/>
  </cols>
  <sheetData>
    <row r="2" spans="2:20" ht="29" x14ac:dyDescent="0.35">
      <c r="B2" s="14" t="s">
        <v>0</v>
      </c>
      <c r="C2" s="14" t="s">
        <v>12</v>
      </c>
      <c r="D2" s="15" t="s">
        <v>13</v>
      </c>
      <c r="E2" s="15" t="s">
        <v>14</v>
      </c>
      <c r="F2" s="14" t="s">
        <v>20</v>
      </c>
      <c r="G2" s="15" t="s">
        <v>77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2:20" ht="15.5" x14ac:dyDescent="0.35">
      <c r="B3" s="55" t="s">
        <v>1</v>
      </c>
      <c r="C3" s="62">
        <v>186</v>
      </c>
      <c r="E3" s="16">
        <v>2001</v>
      </c>
      <c r="F3" s="16" t="s">
        <v>15</v>
      </c>
      <c r="G3" s="2" t="s">
        <v>21</v>
      </c>
    </row>
    <row r="4" spans="2:20" ht="15.5" x14ac:dyDescent="0.35">
      <c r="B4" s="56"/>
      <c r="C4" s="63"/>
      <c r="E4" s="16">
        <v>2001</v>
      </c>
      <c r="F4" s="16" t="s">
        <v>15</v>
      </c>
      <c r="G4" s="2" t="s">
        <v>22</v>
      </c>
    </row>
    <row r="5" spans="2:20" ht="15.5" x14ac:dyDescent="0.35">
      <c r="B5" s="56"/>
      <c r="C5" s="63"/>
      <c r="E5" s="16">
        <v>2001</v>
      </c>
      <c r="F5" s="16" t="s">
        <v>15</v>
      </c>
      <c r="G5" s="2" t="s">
        <v>23</v>
      </c>
    </row>
    <row r="6" spans="2:20" ht="15.5" x14ac:dyDescent="0.35">
      <c r="B6" s="56"/>
      <c r="C6" s="63"/>
      <c r="E6" s="16">
        <v>2001</v>
      </c>
      <c r="F6" s="16" t="s">
        <v>15</v>
      </c>
      <c r="G6" s="2" t="s">
        <v>24</v>
      </c>
    </row>
    <row r="7" spans="2:20" ht="15.5" x14ac:dyDescent="0.35">
      <c r="B7" s="56"/>
      <c r="C7" s="63"/>
      <c r="E7" s="16">
        <v>2001</v>
      </c>
      <c r="F7" s="16" t="s">
        <v>15</v>
      </c>
      <c r="G7" s="2" t="s">
        <v>25</v>
      </c>
    </row>
    <row r="8" spans="2:20" ht="15.5" x14ac:dyDescent="0.35">
      <c r="B8" s="57" t="s">
        <v>2</v>
      </c>
      <c r="C8" s="64">
        <v>95</v>
      </c>
      <c r="E8" s="17">
        <v>2001</v>
      </c>
      <c r="F8" s="17" t="s">
        <v>15</v>
      </c>
      <c r="G8" s="3" t="s">
        <v>26</v>
      </c>
    </row>
    <row r="9" spans="2:20" ht="15.5" x14ac:dyDescent="0.35">
      <c r="B9" s="57"/>
      <c r="C9" s="64"/>
      <c r="E9" s="17">
        <v>2001</v>
      </c>
      <c r="F9" s="17" t="s">
        <v>15</v>
      </c>
      <c r="G9" s="3" t="s">
        <v>27</v>
      </c>
    </row>
    <row r="10" spans="2:20" ht="15.5" x14ac:dyDescent="0.35">
      <c r="B10" s="58" t="s">
        <v>3</v>
      </c>
      <c r="C10" s="65">
        <v>94</v>
      </c>
      <c r="E10" s="18">
        <v>2001</v>
      </c>
      <c r="F10" s="27" t="s">
        <v>15</v>
      </c>
      <c r="G10" s="4" t="s">
        <v>3</v>
      </c>
    </row>
    <row r="11" spans="2:20" ht="15.5" x14ac:dyDescent="0.35">
      <c r="B11" s="58"/>
      <c r="C11" s="65"/>
      <c r="E11" s="18">
        <v>2001</v>
      </c>
      <c r="F11" s="27" t="s">
        <v>15</v>
      </c>
      <c r="G11" s="4" t="s">
        <v>28</v>
      </c>
    </row>
    <row r="12" spans="2:20" ht="15.5" x14ac:dyDescent="0.35">
      <c r="B12" s="5" t="s">
        <v>4</v>
      </c>
      <c r="C12" s="12">
        <v>60</v>
      </c>
      <c r="E12" s="19">
        <v>2001</v>
      </c>
      <c r="F12" s="28" t="s">
        <v>15</v>
      </c>
      <c r="G12" s="5" t="s">
        <v>4</v>
      </c>
    </row>
    <row r="13" spans="2:20" ht="15.5" x14ac:dyDescent="0.35">
      <c r="B13" s="59" t="s">
        <v>5</v>
      </c>
      <c r="C13" s="66">
        <v>69</v>
      </c>
      <c r="E13" s="20">
        <v>2002</v>
      </c>
      <c r="F13" s="20" t="s">
        <v>16</v>
      </c>
      <c r="G13" s="6" t="s">
        <v>29</v>
      </c>
    </row>
    <row r="14" spans="2:20" ht="15.5" x14ac:dyDescent="0.35">
      <c r="B14" s="59"/>
      <c r="C14" s="66"/>
      <c r="E14" s="20">
        <v>2002</v>
      </c>
      <c r="F14" s="20" t="s">
        <v>16</v>
      </c>
      <c r="G14" s="6" t="s">
        <v>30</v>
      </c>
    </row>
    <row r="15" spans="2:20" ht="15.5" x14ac:dyDescent="0.35">
      <c r="B15" s="59"/>
      <c r="C15" s="66"/>
      <c r="E15" s="20">
        <v>2002</v>
      </c>
      <c r="F15" s="20" t="s">
        <v>16</v>
      </c>
      <c r="G15" s="6" t="s">
        <v>31</v>
      </c>
    </row>
    <row r="16" spans="2:20" ht="15.5" x14ac:dyDescent="0.35">
      <c r="B16" s="59"/>
      <c r="C16" s="66"/>
      <c r="E16" s="20">
        <v>2002</v>
      </c>
      <c r="F16" s="20" t="s">
        <v>16</v>
      </c>
      <c r="G16" s="6" t="s">
        <v>32</v>
      </c>
    </row>
    <row r="17" spans="2:7" ht="15.5" x14ac:dyDescent="0.35">
      <c r="B17" s="60" t="s">
        <v>6</v>
      </c>
      <c r="C17" s="67">
        <v>96</v>
      </c>
      <c r="E17" s="21">
        <v>2003</v>
      </c>
      <c r="F17" s="21" t="s">
        <v>17</v>
      </c>
      <c r="G17" s="7" t="s">
        <v>33</v>
      </c>
    </row>
    <row r="18" spans="2:7" ht="15.5" x14ac:dyDescent="0.35">
      <c r="B18" s="60"/>
      <c r="C18" s="67"/>
      <c r="E18" s="21">
        <v>2003</v>
      </c>
      <c r="F18" s="21" t="s">
        <v>17</v>
      </c>
      <c r="G18" s="7" t="s">
        <v>34</v>
      </c>
    </row>
    <row r="19" spans="2:7" ht="15.5" x14ac:dyDescent="0.35">
      <c r="B19" s="60"/>
      <c r="C19" s="67"/>
      <c r="E19" s="21">
        <v>2003</v>
      </c>
      <c r="F19" s="21" t="s">
        <v>17</v>
      </c>
      <c r="G19" s="7" t="s">
        <v>35</v>
      </c>
    </row>
    <row r="20" spans="2:7" ht="15.5" x14ac:dyDescent="0.35">
      <c r="B20" s="60"/>
      <c r="C20" s="67"/>
      <c r="E20" s="21">
        <v>2003</v>
      </c>
      <c r="F20" s="21" t="s">
        <v>17</v>
      </c>
      <c r="G20" s="7" t="s">
        <v>36</v>
      </c>
    </row>
    <row r="21" spans="2:7" ht="15.5" x14ac:dyDescent="0.35">
      <c r="B21" s="60"/>
      <c r="C21" s="67"/>
      <c r="E21" s="21">
        <v>2003</v>
      </c>
      <c r="F21" s="21" t="s">
        <v>17</v>
      </c>
      <c r="G21" s="7" t="s">
        <v>37</v>
      </c>
    </row>
    <row r="22" spans="2:7" ht="15.5" x14ac:dyDescent="0.35">
      <c r="B22" s="60"/>
      <c r="C22" s="67"/>
      <c r="E22" s="21">
        <v>2003</v>
      </c>
      <c r="F22" s="21" t="s">
        <v>17</v>
      </c>
      <c r="G22" s="7" t="s">
        <v>38</v>
      </c>
    </row>
    <row r="23" spans="2:7" ht="15.5" x14ac:dyDescent="0.35">
      <c r="B23" s="60"/>
      <c r="C23" s="67"/>
      <c r="E23" s="21">
        <v>2003</v>
      </c>
      <c r="F23" s="21" t="s">
        <v>17</v>
      </c>
      <c r="G23" s="7" t="s">
        <v>39</v>
      </c>
    </row>
    <row r="24" spans="2:7" ht="15.5" x14ac:dyDescent="0.35">
      <c r="B24" s="60"/>
      <c r="C24" s="67"/>
      <c r="E24" s="21">
        <v>2003</v>
      </c>
      <c r="F24" s="21" t="s">
        <v>17</v>
      </c>
      <c r="G24" s="7" t="s">
        <v>40</v>
      </c>
    </row>
    <row r="25" spans="2:7" ht="15.5" x14ac:dyDescent="0.35">
      <c r="B25" s="60"/>
      <c r="C25" s="67"/>
      <c r="E25" s="21">
        <v>2003</v>
      </c>
      <c r="F25" s="21" t="s">
        <v>17</v>
      </c>
      <c r="G25" s="7" t="s">
        <v>41</v>
      </c>
    </row>
    <row r="26" spans="2:7" ht="15.5" x14ac:dyDescent="0.35">
      <c r="B26" s="60"/>
      <c r="C26" s="67"/>
      <c r="E26" s="21">
        <v>2003</v>
      </c>
      <c r="F26" s="21" t="s">
        <v>17</v>
      </c>
      <c r="G26" s="7" t="s">
        <v>42</v>
      </c>
    </row>
    <row r="27" spans="2:7" ht="15.5" x14ac:dyDescent="0.35">
      <c r="B27" s="60"/>
      <c r="C27" s="67"/>
      <c r="E27" s="21">
        <v>2003</v>
      </c>
      <c r="F27" s="21" t="s">
        <v>17</v>
      </c>
      <c r="G27" s="7" t="s">
        <v>43</v>
      </c>
    </row>
    <row r="28" spans="2:7" ht="15.5" x14ac:dyDescent="0.35">
      <c r="B28" s="60"/>
      <c r="C28" s="67"/>
      <c r="E28" s="21">
        <v>2003</v>
      </c>
      <c r="F28" s="21" t="s">
        <v>17</v>
      </c>
      <c r="G28" s="7" t="s">
        <v>44</v>
      </c>
    </row>
    <row r="29" spans="2:7" ht="15.5" x14ac:dyDescent="0.35">
      <c r="B29" s="60"/>
      <c r="C29" s="67"/>
      <c r="E29" s="21">
        <v>2003</v>
      </c>
      <c r="F29" s="21" t="s">
        <v>17</v>
      </c>
      <c r="G29" s="7" t="s">
        <v>45</v>
      </c>
    </row>
    <row r="30" spans="2:7" ht="15.5" x14ac:dyDescent="0.35">
      <c r="B30" s="60"/>
      <c r="C30" s="67"/>
      <c r="E30" s="21">
        <v>2005</v>
      </c>
      <c r="F30" s="21" t="s">
        <v>18</v>
      </c>
      <c r="G30" s="7" t="s">
        <v>46</v>
      </c>
    </row>
    <row r="31" spans="2:7" ht="15.5" x14ac:dyDescent="0.35">
      <c r="B31" s="60"/>
      <c r="C31" s="67"/>
      <c r="E31" s="21">
        <v>2005</v>
      </c>
      <c r="F31" s="21" t="s">
        <v>18</v>
      </c>
      <c r="G31" s="7" t="s">
        <v>47</v>
      </c>
    </row>
    <row r="32" spans="2:7" ht="15.5" x14ac:dyDescent="0.35">
      <c r="B32" s="60"/>
      <c r="C32" s="67"/>
      <c r="E32" s="21">
        <v>2005</v>
      </c>
      <c r="F32" s="21" t="s">
        <v>18</v>
      </c>
      <c r="G32" s="7" t="s">
        <v>48</v>
      </c>
    </row>
    <row r="33" spans="2:7" ht="15.5" x14ac:dyDescent="0.35">
      <c r="B33" s="60"/>
      <c r="C33" s="67"/>
      <c r="E33" s="21">
        <v>2005</v>
      </c>
      <c r="F33" s="21" t="s">
        <v>18</v>
      </c>
      <c r="G33" s="7" t="s">
        <v>49</v>
      </c>
    </row>
    <row r="34" spans="2:7" ht="15.5" x14ac:dyDescent="0.35">
      <c r="B34" s="60"/>
      <c r="C34" s="67"/>
      <c r="E34" s="21">
        <v>2005</v>
      </c>
      <c r="F34" s="21" t="s">
        <v>18</v>
      </c>
      <c r="G34" s="7" t="s">
        <v>50</v>
      </c>
    </row>
    <row r="35" spans="2:7" ht="15.5" x14ac:dyDescent="0.35">
      <c r="B35" s="60"/>
      <c r="C35" s="67"/>
      <c r="E35" s="21">
        <v>2005</v>
      </c>
      <c r="F35" s="21" t="s">
        <v>18</v>
      </c>
      <c r="G35" s="7" t="s">
        <v>51</v>
      </c>
    </row>
    <row r="36" spans="2:7" ht="15.5" x14ac:dyDescent="0.35">
      <c r="B36" s="60"/>
      <c r="C36" s="67"/>
      <c r="E36" s="21">
        <v>2005</v>
      </c>
      <c r="F36" s="21" t="s">
        <v>18</v>
      </c>
      <c r="G36" s="7" t="s">
        <v>52</v>
      </c>
    </row>
    <row r="37" spans="2:7" ht="15.5" x14ac:dyDescent="0.35">
      <c r="B37" s="60"/>
      <c r="C37" s="67"/>
      <c r="E37" s="21">
        <v>2005</v>
      </c>
      <c r="F37" s="21" t="s">
        <v>18</v>
      </c>
      <c r="G37" s="7" t="s">
        <v>53</v>
      </c>
    </row>
    <row r="38" spans="2:7" ht="15.5" x14ac:dyDescent="0.35">
      <c r="B38" s="60"/>
      <c r="C38" s="67"/>
      <c r="E38" s="21">
        <v>2005</v>
      </c>
      <c r="F38" s="21" t="s">
        <v>18</v>
      </c>
      <c r="G38" s="7" t="s">
        <v>54</v>
      </c>
    </row>
    <row r="39" spans="2:7" ht="15.5" x14ac:dyDescent="0.35">
      <c r="B39" s="60"/>
      <c r="C39" s="67"/>
      <c r="E39" s="21">
        <v>2005</v>
      </c>
      <c r="F39" s="21" t="s">
        <v>18</v>
      </c>
      <c r="G39" s="7" t="s">
        <v>55</v>
      </c>
    </row>
    <row r="40" spans="2:7" ht="15.5" x14ac:dyDescent="0.35">
      <c r="B40" s="60"/>
      <c r="C40" s="67"/>
      <c r="E40" s="21">
        <v>2005</v>
      </c>
      <c r="F40" s="21" t="s">
        <v>18</v>
      </c>
      <c r="G40" s="7" t="s">
        <v>56</v>
      </c>
    </row>
    <row r="41" spans="2:7" ht="15.5" x14ac:dyDescent="0.35">
      <c r="B41" s="60"/>
      <c r="C41" s="67"/>
      <c r="E41" s="21">
        <v>2005</v>
      </c>
      <c r="F41" s="21" t="s">
        <v>18</v>
      </c>
      <c r="G41" s="7" t="s">
        <v>57</v>
      </c>
    </row>
    <row r="42" spans="2:7" ht="15.5" x14ac:dyDescent="0.35">
      <c r="B42" s="60"/>
      <c r="C42" s="67"/>
      <c r="E42" s="21">
        <v>2005</v>
      </c>
      <c r="F42" s="21" t="s">
        <v>18</v>
      </c>
      <c r="G42" s="7" t="s">
        <v>58</v>
      </c>
    </row>
    <row r="43" spans="2:7" ht="15.5" x14ac:dyDescent="0.35">
      <c r="B43" s="60"/>
      <c r="C43" s="67"/>
      <c r="E43" s="21">
        <v>2005</v>
      </c>
      <c r="F43" s="21" t="s">
        <v>18</v>
      </c>
      <c r="G43" s="7" t="s">
        <v>59</v>
      </c>
    </row>
    <row r="44" spans="2:7" ht="15.5" x14ac:dyDescent="0.35">
      <c r="B44" s="60"/>
      <c r="C44" s="67"/>
      <c r="E44" s="21">
        <v>2005</v>
      </c>
      <c r="F44" s="21" t="s">
        <v>18</v>
      </c>
      <c r="G44" s="7" t="s">
        <v>60</v>
      </c>
    </row>
    <row r="45" spans="2:7" ht="15.5" x14ac:dyDescent="0.35">
      <c r="B45" s="61" t="s">
        <v>7</v>
      </c>
      <c r="C45" s="53">
        <v>44</v>
      </c>
      <c r="E45" s="22">
        <v>2004</v>
      </c>
      <c r="F45" s="22" t="s">
        <v>7</v>
      </c>
      <c r="G45" s="29" t="s">
        <v>7</v>
      </c>
    </row>
    <row r="46" spans="2:7" ht="15.5" x14ac:dyDescent="0.35">
      <c r="B46" s="61"/>
      <c r="C46" s="53"/>
      <c r="E46" s="22">
        <v>2004</v>
      </c>
      <c r="F46" s="22" t="s">
        <v>7</v>
      </c>
      <c r="G46" s="29" t="s">
        <v>61</v>
      </c>
    </row>
    <row r="47" spans="2:7" ht="15.5" x14ac:dyDescent="0.35">
      <c r="B47" s="61"/>
      <c r="C47" s="53"/>
      <c r="E47" s="22">
        <v>2004</v>
      </c>
      <c r="F47" s="22" t="s">
        <v>7</v>
      </c>
      <c r="G47" s="29" t="s">
        <v>62</v>
      </c>
    </row>
    <row r="48" spans="2:7" ht="15.5" x14ac:dyDescent="0.35">
      <c r="B48" s="61"/>
      <c r="C48" s="53"/>
      <c r="E48" s="22">
        <v>2004</v>
      </c>
      <c r="F48" s="22" t="s">
        <v>7</v>
      </c>
      <c r="G48" s="29" t="s">
        <v>63</v>
      </c>
    </row>
    <row r="49" spans="2:7" ht="15.5" x14ac:dyDescent="0.35">
      <c r="B49" s="61"/>
      <c r="C49" s="53"/>
      <c r="E49" s="22">
        <v>2004</v>
      </c>
      <c r="F49" s="22" t="s">
        <v>7</v>
      </c>
      <c r="G49" s="29" t="s">
        <v>64</v>
      </c>
    </row>
    <row r="50" spans="2:7" ht="15.5" x14ac:dyDescent="0.35">
      <c r="B50" s="61"/>
      <c r="C50" s="53"/>
      <c r="E50" s="22">
        <v>2004</v>
      </c>
      <c r="F50" s="22" t="s">
        <v>7</v>
      </c>
      <c r="G50" s="29" t="s">
        <v>65</v>
      </c>
    </row>
    <row r="51" spans="2:7" ht="15.5" x14ac:dyDescent="0.35">
      <c r="B51" s="61"/>
      <c r="C51" s="53"/>
      <c r="E51" s="22">
        <v>2004</v>
      </c>
      <c r="F51" s="22" t="s">
        <v>7</v>
      </c>
      <c r="G51" s="29" t="s">
        <v>66</v>
      </c>
    </row>
    <row r="52" spans="2:7" ht="15.5" x14ac:dyDescent="0.35">
      <c r="B52" s="61"/>
      <c r="C52" s="53"/>
      <c r="E52" s="22">
        <v>2004</v>
      </c>
      <c r="F52" s="22" t="s">
        <v>7</v>
      </c>
      <c r="G52" s="29" t="s">
        <v>67</v>
      </c>
    </row>
    <row r="53" spans="2:7" ht="15.5" x14ac:dyDescent="0.35">
      <c r="B53" s="70" t="s">
        <v>8</v>
      </c>
      <c r="C53" s="54">
        <v>50</v>
      </c>
      <c r="E53" s="23">
        <v>2006</v>
      </c>
      <c r="F53" s="23" t="s">
        <v>19</v>
      </c>
      <c r="G53" s="8" t="s">
        <v>68</v>
      </c>
    </row>
    <row r="54" spans="2:7" ht="15.5" x14ac:dyDescent="0.35">
      <c r="B54" s="70"/>
      <c r="C54" s="54"/>
      <c r="E54" s="23">
        <v>2006</v>
      </c>
      <c r="F54" s="23" t="s">
        <v>19</v>
      </c>
      <c r="G54" s="8" t="s">
        <v>69</v>
      </c>
    </row>
    <row r="55" spans="2:7" ht="15.5" x14ac:dyDescent="0.35">
      <c r="B55" s="71" t="s">
        <v>9</v>
      </c>
      <c r="C55" s="68"/>
      <c r="E55" s="24">
        <v>2006</v>
      </c>
      <c r="F55" s="24" t="s">
        <v>19</v>
      </c>
      <c r="G55" s="9" t="s">
        <v>70</v>
      </c>
    </row>
    <row r="56" spans="2:7" ht="15.5" x14ac:dyDescent="0.35">
      <c r="B56" s="71"/>
      <c r="C56" s="68"/>
      <c r="E56" s="24">
        <v>2006</v>
      </c>
      <c r="F56" s="24" t="s">
        <v>19</v>
      </c>
      <c r="G56" s="9" t="s">
        <v>71</v>
      </c>
    </row>
    <row r="57" spans="2:7" ht="15.5" x14ac:dyDescent="0.35">
      <c r="B57" s="71"/>
      <c r="C57" s="68"/>
      <c r="E57" s="24">
        <v>2006</v>
      </c>
      <c r="F57" s="24" t="s">
        <v>19</v>
      </c>
      <c r="G57" s="9" t="s">
        <v>72</v>
      </c>
    </row>
    <row r="58" spans="2:7" ht="15.5" x14ac:dyDescent="0.35">
      <c r="B58" s="72" t="s">
        <v>10</v>
      </c>
      <c r="C58" s="69"/>
      <c r="E58" s="25">
        <v>2006</v>
      </c>
      <c r="F58" s="25" t="s">
        <v>19</v>
      </c>
      <c r="G58" s="10" t="s">
        <v>73</v>
      </c>
    </row>
    <row r="59" spans="2:7" ht="15.5" x14ac:dyDescent="0.35">
      <c r="B59" s="72"/>
      <c r="C59" s="69"/>
      <c r="E59" s="25">
        <v>2006</v>
      </c>
      <c r="F59" s="25" t="s">
        <v>19</v>
      </c>
      <c r="G59" s="10" t="s">
        <v>74</v>
      </c>
    </row>
    <row r="60" spans="2:7" ht="15.5" x14ac:dyDescent="0.35">
      <c r="B60" s="72"/>
      <c r="C60" s="69"/>
      <c r="E60" s="25">
        <v>2006</v>
      </c>
      <c r="F60" s="25" t="s">
        <v>19</v>
      </c>
      <c r="G60" s="10" t="s">
        <v>75</v>
      </c>
    </row>
    <row r="61" spans="2:7" ht="15.5" x14ac:dyDescent="0.35">
      <c r="B61" s="72"/>
      <c r="C61" s="69"/>
      <c r="E61" s="25">
        <v>2006</v>
      </c>
      <c r="F61" s="25" t="s">
        <v>19</v>
      </c>
      <c r="G61" s="10" t="s">
        <v>76</v>
      </c>
    </row>
    <row r="62" spans="2:7" ht="15.5" x14ac:dyDescent="0.35">
      <c r="B62" s="11" t="s">
        <v>11</v>
      </c>
      <c r="C62" s="13">
        <v>188</v>
      </c>
      <c r="E62" s="26">
        <v>2006</v>
      </c>
      <c r="F62" s="26" t="s">
        <v>19</v>
      </c>
      <c r="G62" s="11" t="s">
        <v>11</v>
      </c>
    </row>
  </sheetData>
  <mergeCells count="18">
    <mergeCell ref="C55:C57"/>
    <mergeCell ref="C58:C61"/>
    <mergeCell ref="B53:B54"/>
    <mergeCell ref="B55:B57"/>
    <mergeCell ref="B58:B61"/>
    <mergeCell ref="C45:C52"/>
    <mergeCell ref="C53:C54"/>
    <mergeCell ref="B3:B7"/>
    <mergeCell ref="B8:B9"/>
    <mergeCell ref="B10:B11"/>
    <mergeCell ref="B13:B16"/>
    <mergeCell ref="B17:B44"/>
    <mergeCell ref="B45:B52"/>
    <mergeCell ref="C3:C7"/>
    <mergeCell ref="C8:C9"/>
    <mergeCell ref="C10:C11"/>
    <mergeCell ref="C13:C16"/>
    <mergeCell ref="C17:C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/>
  </sheetPr>
  <dimension ref="B1:AB462"/>
  <sheetViews>
    <sheetView tabSelected="1" topLeftCell="Y1" zoomScaleNormal="100" workbookViewId="0">
      <pane ySplit="1" topLeftCell="A2" activePane="bottomLeft" state="frozen"/>
      <selection pane="bottomLeft" activeCell="AA2" sqref="AA2"/>
    </sheetView>
  </sheetViews>
  <sheetFormatPr defaultColWidth="8.7265625" defaultRowHeight="12.5" x14ac:dyDescent="0.25"/>
  <cols>
    <col min="1" max="1" width="4" style="32" customWidth="1"/>
    <col min="2" max="2" width="10.1796875" style="32" customWidth="1"/>
    <col min="3" max="3" width="8.7265625" style="32"/>
    <col min="4" max="4" width="9.26953125" style="32" bestFit="1" customWidth="1"/>
    <col min="5" max="5" width="11.26953125" style="32" customWidth="1"/>
    <col min="6" max="6" width="15.54296875" style="32" customWidth="1"/>
    <col min="7" max="7" width="9.54296875" style="32" customWidth="1"/>
    <col min="8" max="8" width="9.26953125" style="32" customWidth="1"/>
    <col min="9" max="9" width="35.1796875" style="32" customWidth="1"/>
    <col min="10" max="10" width="15.54296875" style="32" bestFit="1" customWidth="1"/>
    <col min="11" max="11" width="14.7265625" style="34" bestFit="1" customWidth="1"/>
    <col min="12" max="12" width="7" style="32" customWidth="1"/>
    <col min="13" max="13" width="8.81640625" style="32" customWidth="1"/>
    <col min="14" max="14" width="7.7265625" style="32" bestFit="1" customWidth="1"/>
    <col min="15" max="15" width="11" style="34" bestFit="1" customWidth="1"/>
    <col min="16" max="16" width="11.1796875" style="34" bestFit="1" customWidth="1"/>
    <col min="17" max="17" width="8.26953125" style="32" bestFit="1" customWidth="1"/>
    <col min="18" max="18" width="14.54296875" style="32" bestFit="1" customWidth="1"/>
    <col min="19" max="19" width="19.453125" style="32" bestFit="1" customWidth="1"/>
    <col min="20" max="20" width="19" style="32" customWidth="1"/>
    <col min="21" max="21" width="28.6328125" style="32" bestFit="1" customWidth="1"/>
    <col min="22" max="22" width="8.1796875" style="32" bestFit="1" customWidth="1"/>
    <col min="23" max="23" width="8.26953125" style="32" bestFit="1" customWidth="1"/>
    <col min="24" max="24" width="38.81640625" style="32" customWidth="1"/>
    <col min="25" max="25" width="34" style="34" customWidth="1"/>
    <col min="26" max="26" width="83.26953125" style="32" bestFit="1" customWidth="1"/>
    <col min="27" max="28" width="41.81640625" style="32" bestFit="1" customWidth="1"/>
    <col min="29" max="16384" width="8.7265625" style="32"/>
  </cols>
  <sheetData>
    <row r="1" spans="2:28" s="30" customFormat="1" ht="26.5" customHeight="1" x14ac:dyDescent="0.35">
      <c r="B1" s="46" t="s">
        <v>0</v>
      </c>
      <c r="C1" s="46" t="s">
        <v>12</v>
      </c>
      <c r="D1" s="47" t="s">
        <v>14</v>
      </c>
      <c r="E1" s="47" t="s">
        <v>20</v>
      </c>
      <c r="F1" s="47" t="s">
        <v>1115</v>
      </c>
      <c r="G1" s="47" t="s">
        <v>78</v>
      </c>
      <c r="H1" s="48" t="s">
        <v>79</v>
      </c>
      <c r="I1" s="49" t="s">
        <v>666</v>
      </c>
      <c r="J1" s="49" t="s">
        <v>84</v>
      </c>
      <c r="K1" s="49" t="s">
        <v>98</v>
      </c>
      <c r="L1" s="50" t="s">
        <v>85</v>
      </c>
      <c r="M1" s="48" t="s">
        <v>86</v>
      </c>
      <c r="N1" s="48" t="s">
        <v>87</v>
      </c>
      <c r="O1" s="49" t="s">
        <v>81</v>
      </c>
      <c r="P1" s="49" t="s">
        <v>82</v>
      </c>
      <c r="Q1" s="49" t="s">
        <v>83</v>
      </c>
      <c r="R1" s="51" t="s">
        <v>90</v>
      </c>
      <c r="S1" s="51" t="s">
        <v>91</v>
      </c>
      <c r="T1" s="51" t="s">
        <v>92</v>
      </c>
      <c r="U1" s="49" t="s">
        <v>88</v>
      </c>
      <c r="V1" s="49" t="s">
        <v>89</v>
      </c>
      <c r="W1" s="49" t="s">
        <v>83</v>
      </c>
      <c r="X1" s="49" t="s">
        <v>80</v>
      </c>
      <c r="Y1" s="49" t="s">
        <v>668</v>
      </c>
      <c r="Z1" s="30" t="s">
        <v>670</v>
      </c>
      <c r="AB1" s="52" t="s">
        <v>1114</v>
      </c>
    </row>
    <row r="2" spans="2:28" x14ac:dyDescent="0.25">
      <c r="B2" s="31" t="s">
        <v>6</v>
      </c>
      <c r="D2" s="32">
        <v>2003</v>
      </c>
      <c r="E2" s="31" t="s">
        <v>6</v>
      </c>
      <c r="F2" s="32" t="s">
        <v>248</v>
      </c>
      <c r="G2" s="31" t="s">
        <v>249</v>
      </c>
      <c r="H2" s="32" t="s">
        <v>97</v>
      </c>
      <c r="I2" s="33" t="s">
        <v>103</v>
      </c>
      <c r="J2" s="32" t="s">
        <v>93</v>
      </c>
      <c r="K2" s="34">
        <v>4</v>
      </c>
      <c r="L2" s="33"/>
      <c r="O2" s="34">
        <v>17</v>
      </c>
      <c r="P2" s="34">
        <v>10</v>
      </c>
      <c r="Q2" s="32" t="s">
        <v>95</v>
      </c>
      <c r="S2" s="32" t="s">
        <v>664</v>
      </c>
      <c r="T2" s="32" t="s">
        <v>321</v>
      </c>
      <c r="U2" s="32" t="s">
        <v>120</v>
      </c>
      <c r="V2" s="32">
        <v>220</v>
      </c>
      <c r="W2" s="32" t="s">
        <v>89</v>
      </c>
      <c r="X2" s="32" t="str">
        <f>CONCATENATE(J2," ",I2," ",O2,"X",P2," ",Q2)</f>
        <v>Printed Invercote Paper Band Roll 17X10 Inch</v>
      </c>
      <c r="Y2" s="35" t="s">
        <v>99</v>
      </c>
      <c r="Z2" s="32" t="str">
        <f>CONCATENATE(I2," ",O2,"x",P2," ",Q2," ",T2," ",V2," ",U2)</f>
        <v>Invercote Paper Band Roll 17x10 Inch Die &amp; Pollar Cutting 220 Solid Bleach Board</v>
      </c>
      <c r="AA2" s="32" t="str">
        <f>CONCATENATE(J10," ",R2," ",I10," ",O10,"X",P10," ",Q10)</f>
        <v>Printed  Band Roll  37X17 Inch</v>
      </c>
      <c r="AB2" s="32" t="s">
        <v>695</v>
      </c>
    </row>
    <row r="3" spans="2:28" x14ac:dyDescent="0.25">
      <c r="B3" s="31" t="s">
        <v>6</v>
      </c>
      <c r="D3" s="32">
        <v>2003</v>
      </c>
      <c r="E3" s="31" t="s">
        <v>6</v>
      </c>
      <c r="F3" s="32" t="s">
        <v>248</v>
      </c>
      <c r="G3" s="31" t="s">
        <v>249</v>
      </c>
      <c r="H3" s="32" t="s">
        <v>97</v>
      </c>
      <c r="I3" s="33" t="s">
        <v>103</v>
      </c>
      <c r="J3" s="32" t="s">
        <v>93</v>
      </c>
      <c r="K3" s="34">
        <v>4</v>
      </c>
      <c r="L3" s="33"/>
      <c r="O3" s="34">
        <v>37</v>
      </c>
      <c r="P3" s="34">
        <v>12</v>
      </c>
      <c r="Q3" s="32" t="s">
        <v>95</v>
      </c>
      <c r="S3" s="32" t="s">
        <v>664</v>
      </c>
      <c r="T3" s="32" t="s">
        <v>321</v>
      </c>
      <c r="U3" s="32" t="s">
        <v>120</v>
      </c>
      <c r="V3" s="32">
        <v>220</v>
      </c>
      <c r="W3" s="32" t="s">
        <v>89</v>
      </c>
      <c r="X3" s="32" t="str">
        <f t="shared" ref="X3:X52" si="0">CONCATENATE(J3," ",I3," ",O3,"X",P3," ",Q3)</f>
        <v>Printed Invercote Paper Band Roll 37X12 Inch</v>
      </c>
      <c r="Y3" s="35" t="s">
        <v>101</v>
      </c>
      <c r="Z3" s="32" t="str">
        <f t="shared" ref="Z3:Z66" si="1">CONCATENATE(I3," ",O3,"x",P3," ",Q3," ",T3," ",V3," ",U3)</f>
        <v>Invercote Paper Band Roll 37x12 Inch Die &amp; Pollar Cutting 220 Solid Bleach Board</v>
      </c>
      <c r="AA3" s="32" t="str">
        <f t="shared" ref="AA3:AA66" si="2">CONCATENATE(J11," ",R3," ",I11," ",O11,"X",P11," ",Q11)</f>
        <v>Printed  Band Roll 64.5X10 CM</v>
      </c>
      <c r="AB3" s="32" t="s">
        <v>696</v>
      </c>
    </row>
    <row r="4" spans="2:28" x14ac:dyDescent="0.25">
      <c r="B4" s="31" t="s">
        <v>6</v>
      </c>
      <c r="D4" s="32">
        <v>2003</v>
      </c>
      <c r="E4" s="31" t="s">
        <v>6</v>
      </c>
      <c r="F4" s="32" t="s">
        <v>248</v>
      </c>
      <c r="G4" s="31" t="s">
        <v>249</v>
      </c>
      <c r="H4" s="32" t="s">
        <v>97</v>
      </c>
      <c r="I4" s="33" t="s">
        <v>103</v>
      </c>
      <c r="J4" s="32" t="s">
        <v>93</v>
      </c>
      <c r="K4" s="34">
        <v>4</v>
      </c>
      <c r="L4" s="33"/>
      <c r="O4" s="34">
        <v>14</v>
      </c>
      <c r="P4" s="34">
        <v>11</v>
      </c>
      <c r="Q4" s="32" t="s">
        <v>95</v>
      </c>
      <c r="S4" s="32" t="s">
        <v>664</v>
      </c>
      <c r="T4" s="32" t="s">
        <v>321</v>
      </c>
      <c r="U4" s="32" t="s">
        <v>120</v>
      </c>
      <c r="V4" s="32">
        <v>220</v>
      </c>
      <c r="W4" s="32" t="s">
        <v>89</v>
      </c>
      <c r="X4" s="32" t="str">
        <f t="shared" si="0"/>
        <v>Printed Invercote Paper Band Roll 14X11 Inch</v>
      </c>
      <c r="Y4" s="35" t="s">
        <v>100</v>
      </c>
      <c r="Z4" s="32" t="str">
        <f t="shared" si="1"/>
        <v>Invercote Paper Band Roll 14x11 Inch Die &amp; Pollar Cutting 220 Solid Bleach Board</v>
      </c>
      <c r="AA4" s="32" t="str">
        <f t="shared" si="2"/>
        <v>Printed  Band Roll  39.5X8 CM</v>
      </c>
      <c r="AB4" s="32" t="s">
        <v>697</v>
      </c>
    </row>
    <row r="5" spans="2:28" x14ac:dyDescent="0.25">
      <c r="B5" s="31" t="s">
        <v>6</v>
      </c>
      <c r="D5" s="32">
        <v>2003</v>
      </c>
      <c r="E5" s="31" t="s">
        <v>6</v>
      </c>
      <c r="F5" s="32" t="s">
        <v>248</v>
      </c>
      <c r="G5" s="31" t="s">
        <v>249</v>
      </c>
      <c r="H5" s="34" t="s">
        <v>97</v>
      </c>
      <c r="I5" s="31" t="s">
        <v>105</v>
      </c>
      <c r="J5" s="32" t="s">
        <v>93</v>
      </c>
      <c r="K5" s="34">
        <v>4</v>
      </c>
      <c r="O5" s="32">
        <v>20.5</v>
      </c>
      <c r="P5" s="32">
        <v>9.25</v>
      </c>
      <c r="Q5" s="32" t="s">
        <v>95</v>
      </c>
      <c r="S5" s="32" t="s">
        <v>664</v>
      </c>
      <c r="T5" s="34" t="s">
        <v>119</v>
      </c>
      <c r="U5" s="32" t="s">
        <v>106</v>
      </c>
      <c r="V5" s="32">
        <v>150</v>
      </c>
      <c r="W5" s="34" t="s">
        <v>89</v>
      </c>
      <c r="X5" s="32" t="str">
        <f t="shared" si="0"/>
        <v>Printed Plastic Band Roll 20.5X9.25 Inch</v>
      </c>
      <c r="Y5" s="35" t="s">
        <v>108</v>
      </c>
      <c r="Z5" s="32" t="str">
        <f t="shared" si="1"/>
        <v>Plastic Band Roll 20.5x9.25 Inch Pollar Cutting 150 Plastic Card</v>
      </c>
      <c r="AA5" s="32" t="str">
        <f t="shared" si="2"/>
        <v>Printed  Band Roll 65X10 CM</v>
      </c>
      <c r="AB5" s="32" t="s">
        <v>698</v>
      </c>
    </row>
    <row r="6" spans="2:28" x14ac:dyDescent="0.25">
      <c r="B6" s="31" t="s">
        <v>6</v>
      </c>
      <c r="D6" s="32">
        <v>2003</v>
      </c>
      <c r="E6" s="31" t="s">
        <v>6</v>
      </c>
      <c r="F6" s="32" t="s">
        <v>248</v>
      </c>
      <c r="G6" s="31" t="s">
        <v>249</v>
      </c>
      <c r="H6" s="34" t="s">
        <v>97</v>
      </c>
      <c r="I6" s="31" t="s">
        <v>53</v>
      </c>
      <c r="J6" s="32" t="s">
        <v>93</v>
      </c>
      <c r="K6" s="34">
        <v>4</v>
      </c>
      <c r="O6" s="32">
        <v>28</v>
      </c>
      <c r="P6" s="32">
        <v>11</v>
      </c>
      <c r="Q6" s="32" t="s">
        <v>95</v>
      </c>
      <c r="S6" s="32" t="s">
        <v>664</v>
      </c>
      <c r="T6" s="34" t="s">
        <v>119</v>
      </c>
      <c r="U6" s="32" t="s">
        <v>173</v>
      </c>
      <c r="V6" s="32">
        <v>160</v>
      </c>
      <c r="W6" s="34" t="s">
        <v>89</v>
      </c>
      <c r="X6" s="32" t="str">
        <f t="shared" si="0"/>
        <v>Printed Band Roll 28X11 Inch</v>
      </c>
      <c r="Y6" s="35" t="s">
        <v>109</v>
      </c>
      <c r="Z6" s="32" t="str">
        <f t="shared" si="1"/>
        <v>Band Roll 28x11 Inch Pollar Cutting 160 Kraft Paper</v>
      </c>
      <c r="AA6" s="32" t="str">
        <f t="shared" si="2"/>
        <v>Printed  Hanger 26X10 CM</v>
      </c>
      <c r="AB6" s="32" t="s">
        <v>699</v>
      </c>
    </row>
    <row r="7" spans="2:28" x14ac:dyDescent="0.25">
      <c r="B7" s="31" t="s">
        <v>6</v>
      </c>
      <c r="D7" s="32">
        <v>2003</v>
      </c>
      <c r="E7" s="31" t="s">
        <v>6</v>
      </c>
      <c r="F7" s="32" t="s">
        <v>248</v>
      </c>
      <c r="G7" s="31" t="s">
        <v>249</v>
      </c>
      <c r="H7" s="34" t="s">
        <v>97</v>
      </c>
      <c r="I7" s="31" t="s">
        <v>112</v>
      </c>
      <c r="J7" s="32" t="s">
        <v>93</v>
      </c>
      <c r="K7" s="34">
        <v>4</v>
      </c>
      <c r="O7" s="32">
        <v>20</v>
      </c>
      <c r="P7" s="32">
        <v>9.25</v>
      </c>
      <c r="Q7" s="32" t="s">
        <v>95</v>
      </c>
      <c r="S7" s="34"/>
      <c r="T7" s="34" t="s">
        <v>119</v>
      </c>
      <c r="U7" s="32" t="s">
        <v>110</v>
      </c>
      <c r="V7" s="32">
        <v>300</v>
      </c>
      <c r="W7" s="34" t="s">
        <v>89</v>
      </c>
      <c r="X7" s="32" t="str">
        <f t="shared" si="0"/>
        <v>Printed Insert  20X9.25 Inch</v>
      </c>
      <c r="Y7" s="35" t="s">
        <v>113</v>
      </c>
      <c r="Z7" s="32" t="str">
        <f t="shared" si="1"/>
        <v>Insert  20x9.25 Inch Pollar Cutting 300 Swedish Board</v>
      </c>
      <c r="AA7" s="32" t="str">
        <f t="shared" si="2"/>
        <v>Printed  Insert Baner 69X12 CM</v>
      </c>
      <c r="AB7" s="32" t="s">
        <v>700</v>
      </c>
    </row>
    <row r="8" spans="2:28" x14ac:dyDescent="0.25">
      <c r="B8" s="31" t="s">
        <v>6</v>
      </c>
      <c r="D8" s="32">
        <v>2003</v>
      </c>
      <c r="E8" s="31" t="s">
        <v>6</v>
      </c>
      <c r="F8" s="32" t="s">
        <v>248</v>
      </c>
      <c r="G8" s="31" t="s">
        <v>249</v>
      </c>
      <c r="H8" s="34" t="s">
        <v>97</v>
      </c>
      <c r="I8" s="31" t="s">
        <v>46</v>
      </c>
      <c r="J8" s="32" t="s">
        <v>93</v>
      </c>
      <c r="K8" s="34">
        <v>4</v>
      </c>
      <c r="O8" s="32">
        <v>14</v>
      </c>
      <c r="P8" s="32">
        <v>8.25</v>
      </c>
      <c r="Q8" s="32" t="s">
        <v>95</v>
      </c>
      <c r="S8" s="34"/>
      <c r="T8" s="34" t="s">
        <v>119</v>
      </c>
      <c r="U8" s="32" t="s">
        <v>110</v>
      </c>
      <c r="V8" s="32">
        <v>300</v>
      </c>
      <c r="W8" s="34" t="s">
        <v>89</v>
      </c>
      <c r="X8" s="32" t="str">
        <f t="shared" si="0"/>
        <v>Printed Insert 14X8.25 Inch</v>
      </c>
      <c r="Y8" s="35" t="s">
        <v>114</v>
      </c>
      <c r="Z8" s="32" t="str">
        <f t="shared" si="1"/>
        <v>Insert 14x8.25 Inch Pollar Cutting 300 Swedish Board</v>
      </c>
      <c r="AA8" s="32" t="str">
        <f t="shared" si="2"/>
        <v>Printed  Insert Belly Band Sticker 18.16X3.75 Inch</v>
      </c>
      <c r="AB8" s="32" t="s">
        <v>701</v>
      </c>
    </row>
    <row r="9" spans="2:28" x14ac:dyDescent="0.25">
      <c r="B9" s="31" t="s">
        <v>6</v>
      </c>
      <c r="D9" s="32">
        <v>2003</v>
      </c>
      <c r="E9" s="31" t="s">
        <v>6</v>
      </c>
      <c r="F9" s="32" t="s">
        <v>248</v>
      </c>
      <c r="G9" s="31" t="s">
        <v>249</v>
      </c>
      <c r="H9" s="34" t="s">
        <v>97</v>
      </c>
      <c r="I9" s="31" t="s">
        <v>46</v>
      </c>
      <c r="J9" s="32" t="s">
        <v>93</v>
      </c>
      <c r="K9" s="34">
        <v>4</v>
      </c>
      <c r="O9" s="32">
        <v>16.5</v>
      </c>
      <c r="P9" s="32">
        <v>7</v>
      </c>
      <c r="Q9" s="32" t="s">
        <v>95</v>
      </c>
      <c r="S9" s="34"/>
      <c r="T9" s="34" t="s">
        <v>119</v>
      </c>
      <c r="U9" s="32" t="s">
        <v>110</v>
      </c>
      <c r="V9" s="32">
        <v>300</v>
      </c>
      <c r="W9" s="34" t="s">
        <v>89</v>
      </c>
      <c r="X9" s="32" t="str">
        <f t="shared" si="0"/>
        <v>Printed Insert 16.5X7 Inch</v>
      </c>
      <c r="Y9" s="35" t="s">
        <v>117</v>
      </c>
      <c r="Z9" s="32" t="str">
        <f t="shared" si="1"/>
        <v>Insert 16.5x7 Inch Pollar Cutting 300 Swedish Board</v>
      </c>
      <c r="AA9" s="32" t="str">
        <f t="shared" si="2"/>
        <v>Printed  Insert Belly Band Sticker 19.74X3.75 Inch</v>
      </c>
      <c r="AB9" s="32" t="s">
        <v>702</v>
      </c>
    </row>
    <row r="10" spans="2:28" x14ac:dyDescent="0.25">
      <c r="B10" s="31" t="s">
        <v>6</v>
      </c>
      <c r="D10" s="32">
        <v>2003</v>
      </c>
      <c r="E10" s="31" t="s">
        <v>6</v>
      </c>
      <c r="F10" s="32" t="s">
        <v>248</v>
      </c>
      <c r="G10" s="31" t="s">
        <v>249</v>
      </c>
      <c r="H10" s="34" t="s">
        <v>97</v>
      </c>
      <c r="I10" s="31" t="s">
        <v>121</v>
      </c>
      <c r="J10" s="32" t="s">
        <v>93</v>
      </c>
      <c r="K10" s="34">
        <v>4</v>
      </c>
      <c r="O10" s="32">
        <v>37</v>
      </c>
      <c r="P10" s="32">
        <v>17</v>
      </c>
      <c r="Q10" s="32" t="s">
        <v>95</v>
      </c>
      <c r="S10" s="34"/>
      <c r="T10" s="34" t="s">
        <v>119</v>
      </c>
      <c r="U10" s="32" t="s">
        <v>120</v>
      </c>
      <c r="V10" s="32">
        <v>220</v>
      </c>
      <c r="W10" s="34" t="s">
        <v>89</v>
      </c>
      <c r="X10" s="32" t="str">
        <f>CONCATENATE(J10," ",I10," ",O10,"X",P10," ",Q10)</f>
        <v>Printed Band Roll  37X17 Inch</v>
      </c>
      <c r="Y10" s="35" t="s">
        <v>118</v>
      </c>
      <c r="Z10" s="32" t="str">
        <f t="shared" si="1"/>
        <v>Band Roll  37x17 Inch Pollar Cutting 220 Solid Bleach Board</v>
      </c>
      <c r="AA10" s="32" t="str">
        <f t="shared" si="2"/>
        <v>Printed  Insert Belly Band Sticker 21.32X3.75 Inch</v>
      </c>
      <c r="AB10" s="32" t="s">
        <v>703</v>
      </c>
    </row>
    <row r="11" spans="2:28" x14ac:dyDescent="0.25">
      <c r="B11" s="31" t="s">
        <v>6</v>
      </c>
      <c r="D11" s="32">
        <v>2003</v>
      </c>
      <c r="E11" s="31" t="s">
        <v>6</v>
      </c>
      <c r="F11" s="32" t="s">
        <v>248</v>
      </c>
      <c r="G11" s="31" t="s">
        <v>249</v>
      </c>
      <c r="H11" s="32" t="s">
        <v>97</v>
      </c>
      <c r="I11" s="33" t="s">
        <v>53</v>
      </c>
      <c r="J11" s="32" t="s">
        <v>93</v>
      </c>
      <c r="K11" s="34">
        <v>5</v>
      </c>
      <c r="L11" s="33"/>
      <c r="O11" s="34">
        <v>64.5</v>
      </c>
      <c r="P11" s="34">
        <v>10</v>
      </c>
      <c r="Q11" s="32" t="s">
        <v>94</v>
      </c>
      <c r="S11" s="32" t="s">
        <v>122</v>
      </c>
      <c r="T11" s="32" t="s">
        <v>119</v>
      </c>
      <c r="U11" s="32" t="s">
        <v>110</v>
      </c>
      <c r="V11" s="32">
        <v>350</v>
      </c>
      <c r="W11" s="32" t="s">
        <v>89</v>
      </c>
      <c r="X11" s="32" t="str">
        <f t="shared" si="0"/>
        <v>Printed Band Roll 64.5X10 CM</v>
      </c>
      <c r="Y11" s="35" t="s">
        <v>123</v>
      </c>
      <c r="Z11" s="32" t="str">
        <f t="shared" si="1"/>
        <v>Band Roll 64.5x10 CM Pollar Cutting 350 Swedish Board</v>
      </c>
      <c r="AA11" s="32" t="str">
        <f t="shared" si="2"/>
        <v>Printed  Insert Belly Band Sticker 12.66X3.75 Inch</v>
      </c>
      <c r="AB11" s="32" t="s">
        <v>704</v>
      </c>
    </row>
    <row r="12" spans="2:28" x14ac:dyDescent="0.25">
      <c r="B12" s="31" t="s">
        <v>6</v>
      </c>
      <c r="D12" s="32">
        <v>2003</v>
      </c>
      <c r="E12" s="31" t="s">
        <v>6</v>
      </c>
      <c r="F12" s="32" t="s">
        <v>248</v>
      </c>
      <c r="G12" s="31" t="s">
        <v>249</v>
      </c>
      <c r="H12" s="32" t="s">
        <v>97</v>
      </c>
      <c r="I12" s="33" t="s">
        <v>121</v>
      </c>
      <c r="J12" s="32" t="s">
        <v>93</v>
      </c>
      <c r="K12" s="34">
        <v>4</v>
      </c>
      <c r="L12" s="33"/>
      <c r="O12" s="34">
        <v>39.5</v>
      </c>
      <c r="P12" s="34">
        <v>8</v>
      </c>
      <c r="Q12" s="32" t="s">
        <v>94</v>
      </c>
      <c r="S12" s="32" t="s">
        <v>122</v>
      </c>
      <c r="T12" s="32" t="s">
        <v>119</v>
      </c>
      <c r="U12" s="32" t="s">
        <v>110</v>
      </c>
      <c r="V12" s="32">
        <v>350</v>
      </c>
      <c r="W12" s="32" t="s">
        <v>89</v>
      </c>
      <c r="X12" s="32" t="str">
        <f t="shared" si="0"/>
        <v>Printed Band Roll  39.5X8 CM</v>
      </c>
      <c r="Y12" s="35" t="s">
        <v>124</v>
      </c>
      <c r="Z12" s="32" t="str">
        <f t="shared" si="1"/>
        <v>Band Roll  39.5x8 CM Pollar Cutting 350 Swedish Board</v>
      </c>
      <c r="AA12" s="32" t="str">
        <f t="shared" si="2"/>
        <v>Printed  Insert Belly Band Sticker 13X3.75 Inch</v>
      </c>
      <c r="AB12" s="32" t="s">
        <v>705</v>
      </c>
    </row>
    <row r="13" spans="2:28" x14ac:dyDescent="0.25">
      <c r="B13" s="31" t="s">
        <v>6</v>
      </c>
      <c r="D13" s="32">
        <v>2003</v>
      </c>
      <c r="E13" s="31" t="s">
        <v>6</v>
      </c>
      <c r="F13" s="32" t="s">
        <v>248</v>
      </c>
      <c r="G13" s="31" t="s">
        <v>249</v>
      </c>
      <c r="H13" s="32" t="s">
        <v>97</v>
      </c>
      <c r="I13" s="33" t="s">
        <v>53</v>
      </c>
      <c r="J13" s="32" t="s">
        <v>93</v>
      </c>
      <c r="K13" s="34">
        <v>4</v>
      </c>
      <c r="L13" s="33"/>
      <c r="O13" s="34">
        <v>65</v>
      </c>
      <c r="P13" s="34">
        <v>10</v>
      </c>
      <c r="Q13" s="32" t="s">
        <v>94</v>
      </c>
      <c r="S13" s="32" t="s">
        <v>122</v>
      </c>
      <c r="T13" s="32" t="s">
        <v>119</v>
      </c>
      <c r="U13" s="32" t="s">
        <v>110</v>
      </c>
      <c r="V13" s="32">
        <v>350</v>
      </c>
      <c r="W13" s="32" t="s">
        <v>89</v>
      </c>
      <c r="X13" s="32" t="str">
        <f t="shared" si="0"/>
        <v>Printed Band Roll 65X10 CM</v>
      </c>
      <c r="Y13" s="35" t="s">
        <v>125</v>
      </c>
      <c r="Z13" s="32" t="str">
        <f t="shared" si="1"/>
        <v>Band Roll 65x10 CM Pollar Cutting 350 Swedish Board</v>
      </c>
      <c r="AA13" s="32" t="str">
        <f t="shared" si="2"/>
        <v>Printed  Carton Sticker 4.75X2.25 Inch</v>
      </c>
      <c r="AB13" s="32" t="s">
        <v>706</v>
      </c>
    </row>
    <row r="14" spans="2:28" x14ac:dyDescent="0.25">
      <c r="B14" s="31" t="s">
        <v>6</v>
      </c>
      <c r="D14" s="32">
        <v>2003</v>
      </c>
      <c r="E14" s="31" t="s">
        <v>6</v>
      </c>
      <c r="F14" s="32" t="s">
        <v>248</v>
      </c>
      <c r="G14" s="31" t="s">
        <v>249</v>
      </c>
      <c r="H14" s="32" t="s">
        <v>97</v>
      </c>
      <c r="I14" s="33" t="s">
        <v>56</v>
      </c>
      <c r="J14" s="32" t="s">
        <v>93</v>
      </c>
      <c r="K14" s="34">
        <v>2</v>
      </c>
      <c r="L14" s="31"/>
      <c r="O14" s="34">
        <v>26</v>
      </c>
      <c r="P14" s="34">
        <v>10</v>
      </c>
      <c r="Q14" s="34" t="s">
        <v>94</v>
      </c>
      <c r="S14" s="32" t="s">
        <v>122</v>
      </c>
      <c r="T14" s="34" t="s">
        <v>236</v>
      </c>
      <c r="U14" s="32" t="s">
        <v>665</v>
      </c>
      <c r="V14" s="34">
        <v>1600</v>
      </c>
      <c r="W14" s="34" t="s">
        <v>89</v>
      </c>
      <c r="X14" s="32" t="str">
        <f t="shared" si="0"/>
        <v>Printed Hanger 26X10 CM</v>
      </c>
      <c r="Y14" s="35" t="s">
        <v>126</v>
      </c>
      <c r="Z14" s="32" t="str">
        <f>CONCATENATE(I14," ",O14,"x",P14," ",Q14," ",T14," ",V14," ",U14)</f>
        <v>Hanger 26x10 CM Die Cutting 1600 Art Card/Duplex Board</v>
      </c>
      <c r="AA14" s="32" t="str">
        <f t="shared" si="2"/>
        <v>Printed  Barcode Sticker 4X2.9 CM</v>
      </c>
      <c r="AB14" s="32" t="s">
        <v>707</v>
      </c>
    </row>
    <row r="15" spans="2:28" x14ac:dyDescent="0.25">
      <c r="B15" s="31" t="s">
        <v>6</v>
      </c>
      <c r="D15" s="32">
        <v>2003</v>
      </c>
      <c r="E15" s="31" t="s">
        <v>6</v>
      </c>
      <c r="F15" s="32" t="s">
        <v>248</v>
      </c>
      <c r="G15" s="31" t="s">
        <v>249</v>
      </c>
      <c r="H15" s="32" t="s">
        <v>97</v>
      </c>
      <c r="I15" s="31" t="s">
        <v>310</v>
      </c>
      <c r="J15" s="32" t="s">
        <v>93</v>
      </c>
      <c r="K15" s="34">
        <v>6</v>
      </c>
      <c r="O15" s="32">
        <v>69</v>
      </c>
      <c r="P15" s="32">
        <v>12</v>
      </c>
      <c r="Q15" s="34" t="s">
        <v>94</v>
      </c>
      <c r="R15" s="34" t="s">
        <v>328</v>
      </c>
      <c r="T15" s="34" t="s">
        <v>119</v>
      </c>
      <c r="U15" s="32" t="s">
        <v>237</v>
      </c>
      <c r="V15" s="32">
        <v>200</v>
      </c>
      <c r="W15" s="34" t="s">
        <v>89</v>
      </c>
      <c r="X15" s="32" t="str">
        <f t="shared" si="0"/>
        <v>Printed Insert Baner 69X12 CM</v>
      </c>
      <c r="Y15" s="35" t="s">
        <v>129</v>
      </c>
      <c r="Z15" s="32" t="str">
        <f t="shared" si="1"/>
        <v>Insert Baner 69x12 CM Pollar Cutting 200 Art Card</v>
      </c>
      <c r="AA15" s="32" t="str">
        <f t="shared" si="2"/>
        <v>Printed Matt/Glossy Insert 12.88X10.1 Inch</v>
      </c>
      <c r="AB15" s="32" t="s">
        <v>671</v>
      </c>
    </row>
    <row r="16" spans="2:28" x14ac:dyDescent="0.25">
      <c r="B16" s="31" t="s">
        <v>6</v>
      </c>
      <c r="D16" s="32">
        <v>2003</v>
      </c>
      <c r="E16" s="31" t="s">
        <v>6</v>
      </c>
      <c r="F16" s="32" t="s">
        <v>248</v>
      </c>
      <c r="G16" s="31" t="s">
        <v>249</v>
      </c>
      <c r="H16" s="32" t="s">
        <v>97</v>
      </c>
      <c r="I16" s="31" t="s">
        <v>133</v>
      </c>
      <c r="J16" s="32" t="s">
        <v>93</v>
      </c>
      <c r="K16" s="34">
        <v>6</v>
      </c>
      <c r="O16" s="34">
        <v>18.16</v>
      </c>
      <c r="P16" s="34">
        <v>3.75</v>
      </c>
      <c r="Q16" s="32" t="s">
        <v>95</v>
      </c>
      <c r="S16" s="32" t="s">
        <v>122</v>
      </c>
      <c r="T16" s="34" t="s">
        <v>119</v>
      </c>
      <c r="U16" s="32" t="s">
        <v>128</v>
      </c>
      <c r="V16" s="32">
        <v>80</v>
      </c>
      <c r="W16" s="34" t="s">
        <v>89</v>
      </c>
      <c r="X16" s="32" t="str">
        <f t="shared" si="0"/>
        <v>Printed Insert Belly Band Sticker 18.16X3.75 Inch</v>
      </c>
      <c r="Y16" s="35" t="s">
        <v>131</v>
      </c>
      <c r="Z16" s="32" t="str">
        <f t="shared" si="1"/>
        <v>Insert Belly Band Sticker 18.16x3.75 Inch Pollar Cutting 80 Glossy Sticker</v>
      </c>
      <c r="AA16" s="32" t="str">
        <f t="shared" si="2"/>
        <v>Printed  Insert (Front+Back)  9X9 Inch</v>
      </c>
      <c r="AB16" s="32" t="s">
        <v>708</v>
      </c>
    </row>
    <row r="17" spans="2:28" x14ac:dyDescent="0.25">
      <c r="B17" s="31" t="s">
        <v>6</v>
      </c>
      <c r="D17" s="32">
        <v>2003</v>
      </c>
      <c r="E17" s="31" t="s">
        <v>6</v>
      </c>
      <c r="F17" s="32" t="s">
        <v>248</v>
      </c>
      <c r="G17" s="31" t="s">
        <v>249</v>
      </c>
      <c r="H17" s="32" t="s">
        <v>97</v>
      </c>
      <c r="I17" s="31" t="s">
        <v>133</v>
      </c>
      <c r="J17" s="32" t="s">
        <v>93</v>
      </c>
      <c r="K17" s="34">
        <v>6</v>
      </c>
      <c r="O17" s="34">
        <v>19.739999999999998</v>
      </c>
      <c r="P17" s="34">
        <v>3.75</v>
      </c>
      <c r="Q17" s="32" t="s">
        <v>95</v>
      </c>
      <c r="S17" s="32" t="s">
        <v>122</v>
      </c>
      <c r="T17" s="34" t="s">
        <v>119</v>
      </c>
      <c r="U17" s="32" t="s">
        <v>128</v>
      </c>
      <c r="V17" s="32">
        <v>80</v>
      </c>
      <c r="W17" s="34" t="s">
        <v>89</v>
      </c>
      <c r="X17" s="32" t="str">
        <f t="shared" si="0"/>
        <v>Printed Insert Belly Band Sticker 19.74X3.75 Inch</v>
      </c>
      <c r="Y17" s="35" t="s">
        <v>132</v>
      </c>
      <c r="Z17" s="32" t="str">
        <f t="shared" si="1"/>
        <v>Insert Belly Band Sticker 19.74x3.75 Inch Pollar Cutting 80 Glossy Sticker</v>
      </c>
      <c r="AA17" s="32" t="str">
        <f t="shared" si="2"/>
        <v>Printed  Hang Tag 8X2.5 Inch</v>
      </c>
      <c r="AB17" s="32" t="s">
        <v>709</v>
      </c>
    </row>
    <row r="18" spans="2:28" x14ac:dyDescent="0.25">
      <c r="B18" s="31" t="s">
        <v>6</v>
      </c>
      <c r="D18" s="32">
        <v>2003</v>
      </c>
      <c r="E18" s="31" t="s">
        <v>6</v>
      </c>
      <c r="F18" s="32" t="s">
        <v>248</v>
      </c>
      <c r="G18" s="31" t="s">
        <v>249</v>
      </c>
      <c r="H18" s="32" t="s">
        <v>97</v>
      </c>
      <c r="I18" s="31" t="s">
        <v>133</v>
      </c>
      <c r="J18" s="32" t="s">
        <v>93</v>
      </c>
      <c r="K18" s="34">
        <v>6</v>
      </c>
      <c r="O18" s="34">
        <v>21.32</v>
      </c>
      <c r="P18" s="34">
        <v>3.75</v>
      </c>
      <c r="Q18" s="32" t="s">
        <v>95</v>
      </c>
      <c r="S18" s="32" t="s">
        <v>122</v>
      </c>
      <c r="T18" s="34" t="s">
        <v>119</v>
      </c>
      <c r="U18" s="32" t="s">
        <v>128</v>
      </c>
      <c r="V18" s="32">
        <v>80</v>
      </c>
      <c r="W18" s="34" t="s">
        <v>89</v>
      </c>
      <c r="X18" s="32" t="str">
        <f t="shared" si="0"/>
        <v>Printed Insert Belly Band Sticker 21.32X3.75 Inch</v>
      </c>
      <c r="Y18" s="35" t="s">
        <v>134</v>
      </c>
      <c r="Z18" s="32" t="str">
        <f t="shared" si="1"/>
        <v>Insert Belly Band Sticker 21.32x3.75 Inch Pollar Cutting 80 Glossy Sticker</v>
      </c>
      <c r="AA18" s="32" t="str">
        <f t="shared" si="2"/>
        <v>Printed  Insert (Front+Back) 10.75X10.75 Inch</v>
      </c>
      <c r="AB18" s="32" t="s">
        <v>710</v>
      </c>
    </row>
    <row r="19" spans="2:28" x14ac:dyDescent="0.25">
      <c r="B19" s="31" t="s">
        <v>6</v>
      </c>
      <c r="D19" s="32">
        <v>2003</v>
      </c>
      <c r="E19" s="31" t="s">
        <v>6</v>
      </c>
      <c r="F19" s="32" t="s">
        <v>248</v>
      </c>
      <c r="G19" s="31" t="s">
        <v>249</v>
      </c>
      <c r="H19" s="32" t="s">
        <v>97</v>
      </c>
      <c r="I19" s="31" t="s">
        <v>133</v>
      </c>
      <c r="J19" s="32" t="s">
        <v>93</v>
      </c>
      <c r="K19" s="34">
        <v>6</v>
      </c>
      <c r="O19" s="34">
        <v>12.66</v>
      </c>
      <c r="P19" s="34">
        <v>3.75</v>
      </c>
      <c r="Q19" s="32" t="s">
        <v>95</v>
      </c>
      <c r="S19" s="32" t="s">
        <v>122</v>
      </c>
      <c r="T19" s="34" t="s">
        <v>119</v>
      </c>
      <c r="U19" s="32" t="s">
        <v>128</v>
      </c>
      <c r="V19" s="32">
        <v>80</v>
      </c>
      <c r="W19" s="34" t="s">
        <v>89</v>
      </c>
      <c r="X19" s="32" t="str">
        <f t="shared" si="0"/>
        <v>Printed Insert Belly Band Sticker 12.66X3.75 Inch</v>
      </c>
      <c r="Y19" s="35" t="s">
        <v>135</v>
      </c>
      <c r="Z19" s="32" t="str">
        <f t="shared" si="1"/>
        <v>Insert Belly Band Sticker 12.66x3.75 Inch Pollar Cutting 80 Glossy Sticker</v>
      </c>
      <c r="AA19" s="32" t="str">
        <f t="shared" si="2"/>
        <v>Printed  Insert (Front+Back)  8.5X10.4 Inch</v>
      </c>
      <c r="AB19" s="32" t="s">
        <v>711</v>
      </c>
    </row>
    <row r="20" spans="2:28" x14ac:dyDescent="0.25">
      <c r="B20" s="31" t="s">
        <v>6</v>
      </c>
      <c r="D20" s="32">
        <v>2003</v>
      </c>
      <c r="E20" s="31" t="s">
        <v>6</v>
      </c>
      <c r="F20" s="32" t="s">
        <v>248</v>
      </c>
      <c r="G20" s="31" t="s">
        <v>249</v>
      </c>
      <c r="H20" s="32" t="s">
        <v>97</v>
      </c>
      <c r="I20" s="31" t="s">
        <v>133</v>
      </c>
      <c r="J20" s="32" t="s">
        <v>93</v>
      </c>
      <c r="K20" s="34">
        <v>6</v>
      </c>
      <c r="O20" s="34">
        <v>13</v>
      </c>
      <c r="P20" s="34">
        <v>3.75</v>
      </c>
      <c r="Q20" s="32" t="s">
        <v>95</v>
      </c>
      <c r="S20" s="32" t="s">
        <v>122</v>
      </c>
      <c r="T20" s="34" t="s">
        <v>119</v>
      </c>
      <c r="U20" s="32" t="s">
        <v>128</v>
      </c>
      <c r="V20" s="32">
        <v>80</v>
      </c>
      <c r="W20" s="34" t="s">
        <v>89</v>
      </c>
      <c r="X20" s="32" t="str">
        <f t="shared" si="0"/>
        <v>Printed Insert Belly Band Sticker 13X3.75 Inch</v>
      </c>
      <c r="Y20" s="35" t="s">
        <v>136</v>
      </c>
      <c r="Z20" s="32" t="str">
        <f t="shared" si="1"/>
        <v>Insert Belly Band Sticker 13x3.75 Inch Pollar Cutting 80 Glossy Sticker</v>
      </c>
      <c r="AA20" s="32" t="str">
        <f t="shared" si="2"/>
        <v>Printed  Barcode Sticker 2.4X3.2 Cm</v>
      </c>
      <c r="AB20" s="32" t="s">
        <v>712</v>
      </c>
    </row>
    <row r="21" spans="2:28" x14ac:dyDescent="0.25">
      <c r="B21" s="31" t="s">
        <v>6</v>
      </c>
      <c r="D21" s="32">
        <v>2003</v>
      </c>
      <c r="E21" s="31" t="s">
        <v>6</v>
      </c>
      <c r="F21" s="32" t="s">
        <v>248</v>
      </c>
      <c r="G21" s="31" t="s">
        <v>249</v>
      </c>
      <c r="H21" s="32" t="s">
        <v>97</v>
      </c>
      <c r="I21" s="31" t="s">
        <v>34</v>
      </c>
      <c r="J21" s="32" t="s">
        <v>93</v>
      </c>
      <c r="K21" s="34">
        <v>3</v>
      </c>
      <c r="O21" s="34">
        <v>4.75</v>
      </c>
      <c r="P21" s="34">
        <v>2.25</v>
      </c>
      <c r="Q21" s="32" t="s">
        <v>95</v>
      </c>
      <c r="S21" s="32" t="s">
        <v>122</v>
      </c>
      <c r="T21" s="34" t="s">
        <v>119</v>
      </c>
      <c r="U21" s="32" t="s">
        <v>128</v>
      </c>
      <c r="V21" s="32">
        <v>80</v>
      </c>
      <c r="W21" s="34" t="s">
        <v>89</v>
      </c>
      <c r="X21" s="32" t="str">
        <f t="shared" si="0"/>
        <v>Printed Carton Sticker 4.75X2.25 Inch</v>
      </c>
      <c r="Y21" s="35" t="s">
        <v>138</v>
      </c>
      <c r="Z21" s="32" t="str">
        <f t="shared" si="1"/>
        <v>Carton Sticker 4.75x2.25 Inch Pollar Cutting 80 Glossy Sticker</v>
      </c>
      <c r="AA21" s="32" t="str">
        <f t="shared" si="2"/>
        <v>Printed  Duplex Board  20X14 CM</v>
      </c>
      <c r="AB21" s="32" t="s">
        <v>713</v>
      </c>
    </row>
    <row r="22" spans="2:28" x14ac:dyDescent="0.25">
      <c r="B22" s="31" t="s">
        <v>6</v>
      </c>
      <c r="D22" s="32">
        <v>2003</v>
      </c>
      <c r="E22" s="31" t="s">
        <v>6</v>
      </c>
      <c r="F22" s="32" t="s">
        <v>248</v>
      </c>
      <c r="G22" s="31" t="s">
        <v>249</v>
      </c>
      <c r="H22" s="32" t="s">
        <v>97</v>
      </c>
      <c r="I22" s="31" t="s">
        <v>147</v>
      </c>
      <c r="J22" s="32" t="s">
        <v>93</v>
      </c>
      <c r="K22" s="34">
        <v>1</v>
      </c>
      <c r="O22" s="34">
        <v>4</v>
      </c>
      <c r="P22" s="34">
        <v>2.9</v>
      </c>
      <c r="Q22" s="32" t="s">
        <v>94</v>
      </c>
      <c r="T22" s="34" t="s">
        <v>119</v>
      </c>
      <c r="U22" s="32" t="s">
        <v>128</v>
      </c>
      <c r="V22" s="32">
        <v>80</v>
      </c>
      <c r="W22" s="34" t="s">
        <v>89</v>
      </c>
      <c r="X22" s="32" t="str">
        <f t="shared" si="0"/>
        <v>Printed Barcode Sticker 4X2.9 CM</v>
      </c>
      <c r="Y22" s="35" t="s">
        <v>139</v>
      </c>
      <c r="Z22" s="32" t="str">
        <f t="shared" si="1"/>
        <v>Barcode Sticker 4x2.9 CM Pollar Cutting 80 Glossy Sticker</v>
      </c>
      <c r="AA22" s="32" t="str">
        <f t="shared" si="2"/>
        <v>Printed  Band Roll 40.5X8 Cm</v>
      </c>
      <c r="AB22" s="32" t="s">
        <v>714</v>
      </c>
    </row>
    <row r="23" spans="2:28" x14ac:dyDescent="0.25">
      <c r="B23" s="31" t="s">
        <v>6</v>
      </c>
      <c r="D23" s="32">
        <v>2003</v>
      </c>
      <c r="E23" s="31" t="s">
        <v>6</v>
      </c>
      <c r="F23" s="32" t="s">
        <v>248</v>
      </c>
      <c r="G23" s="31" t="s">
        <v>249</v>
      </c>
      <c r="H23" s="32" t="s">
        <v>140</v>
      </c>
      <c r="I23" s="31" t="s">
        <v>46</v>
      </c>
      <c r="J23" s="32" t="s">
        <v>93</v>
      </c>
      <c r="K23" s="32">
        <v>1</v>
      </c>
      <c r="O23" s="36">
        <v>12.88</v>
      </c>
      <c r="P23" s="34">
        <v>10.1</v>
      </c>
      <c r="Q23" s="32" t="s">
        <v>95</v>
      </c>
      <c r="T23" s="34" t="s">
        <v>236</v>
      </c>
      <c r="U23" s="32" t="s">
        <v>141</v>
      </c>
      <c r="V23" s="32">
        <v>300</v>
      </c>
      <c r="W23" s="34" t="s">
        <v>89</v>
      </c>
      <c r="X23" s="32" t="str">
        <f t="shared" si="0"/>
        <v>Printed Insert 12.88X10.1 Inch</v>
      </c>
      <c r="Y23" s="36" t="s">
        <v>142</v>
      </c>
      <c r="Z23" s="32" t="str">
        <f t="shared" si="1"/>
        <v>Insert 12.88x10.1 Inch Die Cutting 300 Solid Card</v>
      </c>
      <c r="AA23" s="32" t="str">
        <f t="shared" si="2"/>
        <v>Printed  Band Roll 43.5X8 Cm</v>
      </c>
      <c r="AB23" s="32" t="s">
        <v>715</v>
      </c>
    </row>
    <row r="24" spans="2:28" x14ac:dyDescent="0.25">
      <c r="B24" s="31" t="s">
        <v>6</v>
      </c>
      <c r="D24" s="32">
        <v>2003</v>
      </c>
      <c r="E24" s="31" t="s">
        <v>6</v>
      </c>
      <c r="F24" s="32" t="s">
        <v>248</v>
      </c>
      <c r="G24" s="31" t="s">
        <v>249</v>
      </c>
      <c r="H24" s="32" t="s">
        <v>140</v>
      </c>
      <c r="I24" s="31" t="s">
        <v>649</v>
      </c>
      <c r="J24" s="32" t="s">
        <v>93</v>
      </c>
      <c r="K24" s="34">
        <v>2</v>
      </c>
      <c r="O24" s="34">
        <v>9</v>
      </c>
      <c r="P24" s="34">
        <v>9</v>
      </c>
      <c r="Q24" s="32" t="s">
        <v>95</v>
      </c>
      <c r="T24" s="34" t="s">
        <v>236</v>
      </c>
      <c r="U24" s="32" t="s">
        <v>141</v>
      </c>
      <c r="V24" s="32">
        <v>300</v>
      </c>
      <c r="W24" s="34" t="s">
        <v>89</v>
      </c>
      <c r="X24" s="32" t="str">
        <f t="shared" si="0"/>
        <v>Printed Insert (Front+Back)  9X9 Inch</v>
      </c>
      <c r="Y24" s="36" t="s">
        <v>143</v>
      </c>
      <c r="Z24" s="32" t="str">
        <f t="shared" si="1"/>
        <v>Insert (Front+Back)  9x9 Inch Die Cutting 300 Solid Card</v>
      </c>
      <c r="AA24" s="32" t="str">
        <f t="shared" si="2"/>
        <v>Printed  Insert 31X27 Cm</v>
      </c>
      <c r="AB24" s="32" t="s">
        <v>716</v>
      </c>
    </row>
    <row r="25" spans="2:28" x14ac:dyDescent="0.25">
      <c r="B25" s="31" t="s">
        <v>6</v>
      </c>
      <c r="D25" s="32">
        <v>2003</v>
      </c>
      <c r="E25" s="31" t="s">
        <v>6</v>
      </c>
      <c r="F25" s="32" t="s">
        <v>248</v>
      </c>
      <c r="G25" s="31" t="s">
        <v>249</v>
      </c>
      <c r="H25" s="32" t="s">
        <v>97</v>
      </c>
      <c r="I25" s="31" t="s">
        <v>155</v>
      </c>
      <c r="J25" s="32" t="s">
        <v>93</v>
      </c>
      <c r="K25" s="34">
        <v>3</v>
      </c>
      <c r="O25" s="34">
        <v>8</v>
      </c>
      <c r="P25" s="34">
        <v>2.5</v>
      </c>
      <c r="Q25" s="32" t="s">
        <v>95</v>
      </c>
      <c r="T25" s="34" t="s">
        <v>236</v>
      </c>
      <c r="U25" s="32" t="s">
        <v>141</v>
      </c>
      <c r="V25" s="32">
        <v>350</v>
      </c>
      <c r="W25" s="34" t="s">
        <v>89</v>
      </c>
      <c r="X25" s="32" t="str">
        <f t="shared" si="0"/>
        <v>Printed Hang Tag 8X2.5 Inch</v>
      </c>
      <c r="Y25" s="35" t="s">
        <v>144</v>
      </c>
      <c r="Z25" s="32" t="str">
        <f t="shared" si="1"/>
        <v>Hang Tag 8x2.5 Inch Die Cutting 350 Solid Card</v>
      </c>
      <c r="AA25" s="32" t="str">
        <f t="shared" si="2"/>
        <v>Printed  Carton Sticker  4.5X3 Cm</v>
      </c>
      <c r="AB25" s="32" t="s">
        <v>717</v>
      </c>
    </row>
    <row r="26" spans="2:28" x14ac:dyDescent="0.25">
      <c r="B26" s="31" t="s">
        <v>6</v>
      </c>
      <c r="D26" s="32">
        <v>2003</v>
      </c>
      <c r="E26" s="31" t="s">
        <v>6</v>
      </c>
      <c r="F26" s="32" t="s">
        <v>248</v>
      </c>
      <c r="G26" s="31" t="s">
        <v>249</v>
      </c>
      <c r="H26" s="32" t="s">
        <v>140</v>
      </c>
      <c r="I26" s="31" t="s">
        <v>650</v>
      </c>
      <c r="J26" s="32" t="s">
        <v>93</v>
      </c>
      <c r="K26" s="34">
        <v>2</v>
      </c>
      <c r="O26" s="34">
        <v>10.75</v>
      </c>
      <c r="P26" s="34">
        <v>10.75</v>
      </c>
      <c r="Q26" s="32" t="s">
        <v>95</v>
      </c>
      <c r="T26" s="34" t="s">
        <v>236</v>
      </c>
      <c r="U26" s="32" t="s">
        <v>141</v>
      </c>
      <c r="V26" s="32">
        <v>300</v>
      </c>
      <c r="W26" s="34" t="s">
        <v>89</v>
      </c>
      <c r="X26" s="32" t="str">
        <f t="shared" si="0"/>
        <v>Printed Insert (Front+Back) 10.75X10.75 Inch</v>
      </c>
      <c r="Y26" s="36" t="s">
        <v>145</v>
      </c>
      <c r="Z26" s="32" t="str">
        <f t="shared" si="1"/>
        <v>Insert (Front+Back) 10.75x10.75 Inch Die Cutting 300 Solid Card</v>
      </c>
      <c r="AA26" s="32" t="str">
        <f t="shared" si="2"/>
        <v>Printed  Band Roll 55X17 CM</v>
      </c>
      <c r="AB26" s="32" t="s">
        <v>718</v>
      </c>
    </row>
    <row r="27" spans="2:28" x14ac:dyDescent="0.25">
      <c r="B27" s="31" t="s">
        <v>6</v>
      </c>
      <c r="D27" s="32">
        <v>2003</v>
      </c>
      <c r="E27" s="31" t="s">
        <v>6</v>
      </c>
      <c r="F27" s="32" t="s">
        <v>248</v>
      </c>
      <c r="G27" s="31" t="s">
        <v>249</v>
      </c>
      <c r="H27" s="32" t="s">
        <v>140</v>
      </c>
      <c r="I27" s="31" t="s">
        <v>649</v>
      </c>
      <c r="J27" s="32" t="s">
        <v>93</v>
      </c>
      <c r="K27" s="34">
        <v>3</v>
      </c>
      <c r="O27" s="34">
        <v>8.5</v>
      </c>
      <c r="P27" s="34">
        <v>10.4</v>
      </c>
      <c r="Q27" s="32" t="s">
        <v>95</v>
      </c>
      <c r="T27" s="34" t="s">
        <v>236</v>
      </c>
      <c r="U27" s="32" t="s">
        <v>141</v>
      </c>
      <c r="V27" s="32">
        <v>300</v>
      </c>
      <c r="W27" s="34" t="s">
        <v>89</v>
      </c>
      <c r="X27" s="32" t="str">
        <f t="shared" si="0"/>
        <v>Printed Insert (Front+Back)  8.5X10.4 Inch</v>
      </c>
      <c r="Y27" s="36" t="s">
        <v>146</v>
      </c>
      <c r="Z27" s="32" t="str">
        <f t="shared" si="1"/>
        <v>Insert (Front+Back)  8.5x10.4 Inch Die Cutting 300 Solid Card</v>
      </c>
      <c r="AA27" s="32" t="str">
        <f t="shared" si="2"/>
        <v>Printed  Paper Band Roll 70X20 CM</v>
      </c>
      <c r="AB27" s="32" t="s">
        <v>719</v>
      </c>
    </row>
    <row r="28" spans="2:28" x14ac:dyDescent="0.25">
      <c r="B28" s="31" t="s">
        <v>6</v>
      </c>
      <c r="D28" s="32">
        <v>2003</v>
      </c>
      <c r="E28" s="31" t="s">
        <v>6</v>
      </c>
      <c r="F28" s="32" t="s">
        <v>248</v>
      </c>
      <c r="G28" s="31" t="s">
        <v>249</v>
      </c>
      <c r="H28" s="32" t="s">
        <v>97</v>
      </c>
      <c r="I28" s="31" t="s">
        <v>147</v>
      </c>
      <c r="J28" s="32" t="s">
        <v>93</v>
      </c>
      <c r="K28" s="34">
        <v>1</v>
      </c>
      <c r="O28" s="34">
        <v>2.4</v>
      </c>
      <c r="P28" s="34">
        <v>3.2</v>
      </c>
      <c r="Q28" s="32" t="s">
        <v>127</v>
      </c>
      <c r="T28" s="34" t="s">
        <v>236</v>
      </c>
      <c r="U28" s="32" t="s">
        <v>148</v>
      </c>
      <c r="V28" s="32">
        <v>80</v>
      </c>
      <c r="W28" s="34" t="s">
        <v>89</v>
      </c>
      <c r="X28" s="32" t="str">
        <f t="shared" si="0"/>
        <v>Printed Barcode Sticker 2.4X3.2 Cm</v>
      </c>
      <c r="Y28" s="35" t="s">
        <v>149</v>
      </c>
      <c r="Z28" s="32" t="str">
        <f t="shared" si="1"/>
        <v>Barcode Sticker 2.4x3.2 Cm Die Cutting 80 Offset Sticker</v>
      </c>
      <c r="AA28" s="32" t="str">
        <f t="shared" si="2"/>
        <v>Printed  Sticker 2.25X2.5 CM</v>
      </c>
      <c r="AB28" s="32" t="s">
        <v>720</v>
      </c>
    </row>
    <row r="29" spans="2:28" x14ac:dyDescent="0.25">
      <c r="B29" s="31" t="s">
        <v>6</v>
      </c>
      <c r="D29" s="32">
        <v>2003</v>
      </c>
      <c r="E29" s="31" t="s">
        <v>6</v>
      </c>
      <c r="F29" s="32" t="s">
        <v>248</v>
      </c>
      <c r="G29" s="31" t="s">
        <v>249</v>
      </c>
      <c r="H29" s="32" t="s">
        <v>97</v>
      </c>
      <c r="I29" s="31" t="s">
        <v>653</v>
      </c>
      <c r="J29" s="32" t="s">
        <v>93</v>
      </c>
      <c r="K29" s="34">
        <v>1</v>
      </c>
      <c r="O29" s="34">
        <v>20</v>
      </c>
      <c r="P29" s="34">
        <v>14</v>
      </c>
      <c r="Q29" s="32" t="s">
        <v>94</v>
      </c>
      <c r="T29" s="32" t="s">
        <v>119</v>
      </c>
      <c r="U29" s="32" t="s">
        <v>128</v>
      </c>
      <c r="V29" s="32">
        <v>80</v>
      </c>
      <c r="W29" s="34" t="s">
        <v>89</v>
      </c>
      <c r="X29" s="32" t="str">
        <f t="shared" si="0"/>
        <v>Printed Duplex Board  20X14 CM</v>
      </c>
      <c r="Y29" s="35" t="s">
        <v>150</v>
      </c>
      <c r="Z29" s="32" t="str">
        <f t="shared" si="1"/>
        <v>Duplex Board  20x14 CM Pollar Cutting 80 Glossy Sticker</v>
      </c>
      <c r="AA29" s="32" t="str">
        <f t="shared" si="2"/>
        <v>Printed  Sticker 4X3.5 CM</v>
      </c>
      <c r="AB29" s="32" t="s">
        <v>721</v>
      </c>
    </row>
    <row r="30" spans="2:28" x14ac:dyDescent="0.25">
      <c r="B30" s="31" t="s">
        <v>6</v>
      </c>
      <c r="D30" s="32">
        <v>2003</v>
      </c>
      <c r="E30" s="31" t="s">
        <v>6</v>
      </c>
      <c r="F30" s="32" t="s">
        <v>248</v>
      </c>
      <c r="G30" s="31" t="s">
        <v>249</v>
      </c>
      <c r="H30" s="32" t="s">
        <v>97</v>
      </c>
      <c r="I30" s="31" t="s">
        <v>53</v>
      </c>
      <c r="J30" s="32" t="s">
        <v>93</v>
      </c>
      <c r="K30" s="34">
        <v>3</v>
      </c>
      <c r="O30" s="34">
        <v>40.5</v>
      </c>
      <c r="P30" s="34">
        <v>8</v>
      </c>
      <c r="Q30" s="32" t="s">
        <v>127</v>
      </c>
      <c r="S30" s="32" t="s">
        <v>122</v>
      </c>
      <c r="T30" s="32" t="s">
        <v>119</v>
      </c>
      <c r="U30" s="32" t="s">
        <v>110</v>
      </c>
      <c r="V30" s="32">
        <v>350</v>
      </c>
      <c r="W30" s="34" t="s">
        <v>89</v>
      </c>
      <c r="X30" s="32" t="str">
        <f t="shared" si="0"/>
        <v>Printed Band Roll 40.5X8 Cm</v>
      </c>
      <c r="Y30" s="35" t="s">
        <v>151</v>
      </c>
      <c r="Z30" s="32" t="str">
        <f t="shared" si="1"/>
        <v>Band Roll 40.5x8 Cm Pollar Cutting 350 Swedish Board</v>
      </c>
      <c r="AA30" s="32" t="str">
        <f t="shared" si="2"/>
        <v>Printed  Sticker 42X3.2 CM</v>
      </c>
      <c r="AB30" s="32" t="s">
        <v>722</v>
      </c>
    </row>
    <row r="31" spans="2:28" x14ac:dyDescent="0.25">
      <c r="B31" s="31" t="s">
        <v>6</v>
      </c>
      <c r="D31" s="32">
        <v>2003</v>
      </c>
      <c r="E31" s="31" t="s">
        <v>6</v>
      </c>
      <c r="F31" s="32" t="s">
        <v>248</v>
      </c>
      <c r="G31" s="31" t="s">
        <v>249</v>
      </c>
      <c r="H31" s="32" t="s">
        <v>97</v>
      </c>
      <c r="I31" s="31" t="s">
        <v>53</v>
      </c>
      <c r="J31" s="32" t="s">
        <v>93</v>
      </c>
      <c r="K31" s="34">
        <v>3</v>
      </c>
      <c r="O31" s="34">
        <v>43.5</v>
      </c>
      <c r="P31" s="34">
        <v>8</v>
      </c>
      <c r="Q31" s="32" t="s">
        <v>127</v>
      </c>
      <c r="S31" s="32" t="s">
        <v>122</v>
      </c>
      <c r="T31" s="32" t="s">
        <v>119</v>
      </c>
      <c r="U31" s="32" t="s">
        <v>110</v>
      </c>
      <c r="V31" s="32">
        <v>350</v>
      </c>
      <c r="W31" s="34" t="s">
        <v>89</v>
      </c>
      <c r="X31" s="32" t="str">
        <f t="shared" si="0"/>
        <v>Printed Band Roll 43.5X8 Cm</v>
      </c>
      <c r="Y31" s="35" t="s">
        <v>152</v>
      </c>
      <c r="Z31" s="32" t="str">
        <f t="shared" si="1"/>
        <v>Band Roll 43.5x8 Cm Pollar Cutting 350 Swedish Board</v>
      </c>
      <c r="AA31" s="32" t="str">
        <f t="shared" si="2"/>
        <v>Printed  Inlay Card 12X12 CM</v>
      </c>
      <c r="AB31" s="32" t="s">
        <v>723</v>
      </c>
    </row>
    <row r="32" spans="2:28" x14ac:dyDescent="0.25">
      <c r="B32" s="31" t="s">
        <v>6</v>
      </c>
      <c r="D32" s="32">
        <v>2003</v>
      </c>
      <c r="E32" s="31" t="s">
        <v>6</v>
      </c>
      <c r="F32" s="32" t="s">
        <v>248</v>
      </c>
      <c r="G32" s="31" t="s">
        <v>249</v>
      </c>
      <c r="H32" s="32" t="s">
        <v>97</v>
      </c>
      <c r="I32" s="31" t="s">
        <v>46</v>
      </c>
      <c r="J32" s="32" t="s">
        <v>93</v>
      </c>
      <c r="K32" s="34">
        <v>3</v>
      </c>
      <c r="O32" s="34">
        <v>31</v>
      </c>
      <c r="P32" s="34">
        <v>27</v>
      </c>
      <c r="Q32" s="32" t="s">
        <v>127</v>
      </c>
      <c r="S32" s="32" t="s">
        <v>122</v>
      </c>
      <c r="T32" s="32" t="s">
        <v>119</v>
      </c>
      <c r="U32" s="32" t="s">
        <v>237</v>
      </c>
      <c r="V32" s="32">
        <v>300</v>
      </c>
      <c r="W32" s="34" t="s">
        <v>89</v>
      </c>
      <c r="X32" s="32" t="str">
        <f t="shared" si="0"/>
        <v>Printed Insert 31X27 Cm</v>
      </c>
      <c r="Y32" s="35" t="s">
        <v>153</v>
      </c>
      <c r="Z32" s="32" t="str">
        <f t="shared" si="1"/>
        <v>Insert 31x27 Cm Pollar Cutting 300 Art Card</v>
      </c>
      <c r="AA32" s="32" t="str">
        <f t="shared" si="2"/>
        <v>Non Printed  Adhesive Paper A4 11.7X8.3 Inch</v>
      </c>
      <c r="AB32" s="32" t="s">
        <v>724</v>
      </c>
    </row>
    <row r="33" spans="2:28" x14ac:dyDescent="0.25">
      <c r="B33" s="31" t="s">
        <v>6</v>
      </c>
      <c r="D33" s="32">
        <v>2003</v>
      </c>
      <c r="E33" s="31" t="s">
        <v>6</v>
      </c>
      <c r="F33" s="32" t="s">
        <v>248</v>
      </c>
      <c r="G33" s="31" t="s">
        <v>249</v>
      </c>
      <c r="H33" s="32" t="s">
        <v>97</v>
      </c>
      <c r="I33" s="31" t="s">
        <v>137</v>
      </c>
      <c r="J33" s="32" t="s">
        <v>93</v>
      </c>
      <c r="K33" s="34">
        <v>1</v>
      </c>
      <c r="O33" s="34">
        <v>4.5</v>
      </c>
      <c r="P33" s="34">
        <v>3</v>
      </c>
      <c r="Q33" s="32" t="s">
        <v>127</v>
      </c>
      <c r="T33" s="32" t="s">
        <v>119</v>
      </c>
      <c r="U33" s="32" t="s">
        <v>128</v>
      </c>
      <c r="V33" s="32">
        <v>80</v>
      </c>
      <c r="W33" s="34" t="s">
        <v>89</v>
      </c>
      <c r="X33" s="32" t="str">
        <f t="shared" si="0"/>
        <v>Printed Carton Sticker  4.5X3 Cm</v>
      </c>
      <c r="Y33" s="35" t="s">
        <v>154</v>
      </c>
      <c r="Z33" s="32" t="str">
        <f t="shared" si="1"/>
        <v>Carton Sticker  4.5x3 Cm Pollar Cutting 80 Glossy Sticker</v>
      </c>
      <c r="AA33" s="32" t="str">
        <f t="shared" si="2"/>
        <v>Printed  Band Roll 98.5X15 CM</v>
      </c>
      <c r="AB33" s="32" t="s">
        <v>725</v>
      </c>
    </row>
    <row r="34" spans="2:28" x14ac:dyDescent="0.25">
      <c r="B34" s="31" t="s">
        <v>6</v>
      </c>
      <c r="D34" s="32">
        <v>2003</v>
      </c>
      <c r="E34" s="31" t="s">
        <v>6</v>
      </c>
      <c r="F34" s="32" t="s">
        <v>248</v>
      </c>
      <c r="G34" s="31" t="s">
        <v>249</v>
      </c>
      <c r="H34" s="32" t="s">
        <v>97</v>
      </c>
      <c r="I34" s="33" t="s">
        <v>53</v>
      </c>
      <c r="J34" s="32" t="s">
        <v>93</v>
      </c>
      <c r="K34" s="34">
        <v>1</v>
      </c>
      <c r="O34" s="32">
        <v>55</v>
      </c>
      <c r="P34" s="32">
        <v>17</v>
      </c>
      <c r="Q34" s="32" t="s">
        <v>94</v>
      </c>
      <c r="T34" s="34" t="s">
        <v>119</v>
      </c>
      <c r="U34" s="32" t="s">
        <v>157</v>
      </c>
      <c r="V34" s="32">
        <v>200</v>
      </c>
      <c r="W34" s="34" t="s">
        <v>89</v>
      </c>
      <c r="X34" s="32" t="str">
        <f t="shared" si="0"/>
        <v>Printed Band Roll 55X17 CM</v>
      </c>
      <c r="Y34" s="35" t="s">
        <v>158</v>
      </c>
      <c r="Z34" s="32" t="str">
        <f t="shared" si="1"/>
        <v>Band Roll 55x17 CM Pollar Cutting 200 White Craft</v>
      </c>
      <c r="AA34" s="32" t="str">
        <f t="shared" si="2"/>
        <v>Printed  Band Roll 104.5X15 CM</v>
      </c>
      <c r="AB34" s="32" t="s">
        <v>726</v>
      </c>
    </row>
    <row r="35" spans="2:28" x14ac:dyDescent="0.25">
      <c r="B35" s="31" t="s">
        <v>6</v>
      </c>
      <c r="D35" s="32">
        <v>2003</v>
      </c>
      <c r="E35" s="31" t="s">
        <v>6</v>
      </c>
      <c r="F35" s="32" t="s">
        <v>248</v>
      </c>
      <c r="G35" s="31" t="s">
        <v>249</v>
      </c>
      <c r="H35" s="32" t="s">
        <v>97</v>
      </c>
      <c r="I35" s="33" t="s">
        <v>159</v>
      </c>
      <c r="J35" s="32" t="s">
        <v>93</v>
      </c>
      <c r="K35" s="34">
        <v>1</v>
      </c>
      <c r="O35" s="32">
        <v>70</v>
      </c>
      <c r="P35" s="32">
        <v>20</v>
      </c>
      <c r="Q35" s="32" t="s">
        <v>94</v>
      </c>
      <c r="T35" s="34" t="s">
        <v>119</v>
      </c>
      <c r="U35" s="32" t="s">
        <v>120</v>
      </c>
      <c r="V35" s="32">
        <v>205</v>
      </c>
      <c r="W35" s="34" t="s">
        <v>89</v>
      </c>
      <c r="X35" s="32" t="str">
        <f t="shared" si="0"/>
        <v>Printed Paper Band Roll 70X20 CM</v>
      </c>
      <c r="Y35" s="35" t="s">
        <v>160</v>
      </c>
      <c r="Z35" s="32" t="str">
        <f t="shared" si="1"/>
        <v>Paper Band Roll 70x20 CM Pollar Cutting 205 Solid Bleach Board</v>
      </c>
      <c r="AA35" s="32" t="str">
        <f t="shared" si="2"/>
        <v>Non Printed  Round Sticker  6X CM</v>
      </c>
      <c r="AB35" s="32" t="s">
        <v>727</v>
      </c>
    </row>
    <row r="36" spans="2:28" x14ac:dyDescent="0.25">
      <c r="B36" s="31" t="s">
        <v>6</v>
      </c>
      <c r="D36" s="32">
        <v>2003</v>
      </c>
      <c r="E36" s="31" t="s">
        <v>6</v>
      </c>
      <c r="F36" s="32" t="s">
        <v>248</v>
      </c>
      <c r="G36" s="31" t="s">
        <v>249</v>
      </c>
      <c r="H36" s="32" t="s">
        <v>97</v>
      </c>
      <c r="I36" s="33" t="s">
        <v>102</v>
      </c>
      <c r="J36" s="32" t="s">
        <v>93</v>
      </c>
      <c r="K36" s="34">
        <v>1</v>
      </c>
      <c r="O36" s="32">
        <v>2.25</v>
      </c>
      <c r="P36" s="32">
        <v>2.5</v>
      </c>
      <c r="Q36" s="32" t="s">
        <v>94</v>
      </c>
      <c r="T36" s="34" t="s">
        <v>119</v>
      </c>
      <c r="U36" s="32" t="s">
        <v>128</v>
      </c>
      <c r="V36" s="32">
        <v>80</v>
      </c>
      <c r="W36" s="34" t="s">
        <v>89</v>
      </c>
      <c r="X36" s="32" t="str">
        <f t="shared" si="0"/>
        <v>Printed Sticker 2.25X2.5 CM</v>
      </c>
      <c r="Y36" s="35" t="s">
        <v>161</v>
      </c>
      <c r="Z36" s="32" t="str">
        <f t="shared" si="1"/>
        <v>Sticker 2.25x2.5 CM Pollar Cutting 80 Glossy Sticker</v>
      </c>
      <c r="AA36" s="32" t="str">
        <f t="shared" si="2"/>
        <v>Printed  Carton Sticker 7X3 CM</v>
      </c>
      <c r="AB36" s="32" t="s">
        <v>728</v>
      </c>
    </row>
    <row r="37" spans="2:28" x14ac:dyDescent="0.25">
      <c r="B37" s="31" t="s">
        <v>6</v>
      </c>
      <c r="D37" s="32">
        <v>2003</v>
      </c>
      <c r="E37" s="31" t="s">
        <v>6</v>
      </c>
      <c r="F37" s="32" t="s">
        <v>248</v>
      </c>
      <c r="G37" s="31" t="s">
        <v>249</v>
      </c>
      <c r="H37" s="32" t="s">
        <v>97</v>
      </c>
      <c r="I37" s="33" t="s">
        <v>102</v>
      </c>
      <c r="J37" s="32" t="s">
        <v>93</v>
      </c>
      <c r="K37" s="34">
        <v>1</v>
      </c>
      <c r="O37" s="32">
        <v>4</v>
      </c>
      <c r="P37" s="32">
        <v>3.5</v>
      </c>
      <c r="Q37" s="32" t="s">
        <v>94</v>
      </c>
      <c r="T37" s="34" t="s">
        <v>119</v>
      </c>
      <c r="U37" s="32" t="s">
        <v>128</v>
      </c>
      <c r="V37" s="32">
        <v>80</v>
      </c>
      <c r="W37" s="34" t="s">
        <v>89</v>
      </c>
      <c r="X37" s="32" t="str">
        <f t="shared" si="0"/>
        <v>Printed Sticker 4X3.5 CM</v>
      </c>
      <c r="Y37" s="35" t="s">
        <v>162</v>
      </c>
      <c r="Z37" s="32" t="str">
        <f t="shared" si="1"/>
        <v>Sticker 4x3.5 CM Pollar Cutting 80 Glossy Sticker</v>
      </c>
      <c r="AA37" s="32" t="str">
        <f t="shared" si="2"/>
        <v>Printed  Belly Band 60X10 CM</v>
      </c>
      <c r="AB37" s="32" t="s">
        <v>729</v>
      </c>
    </row>
    <row r="38" spans="2:28" x14ac:dyDescent="0.25">
      <c r="B38" s="31" t="s">
        <v>6</v>
      </c>
      <c r="D38" s="32">
        <v>2003</v>
      </c>
      <c r="E38" s="31" t="s">
        <v>6</v>
      </c>
      <c r="F38" s="32" t="s">
        <v>248</v>
      </c>
      <c r="G38" s="31" t="s">
        <v>249</v>
      </c>
      <c r="H38" s="32" t="s">
        <v>97</v>
      </c>
      <c r="I38" s="33" t="s">
        <v>102</v>
      </c>
      <c r="J38" s="32" t="s">
        <v>93</v>
      </c>
      <c r="K38" s="34">
        <v>1</v>
      </c>
      <c r="O38" s="34">
        <v>42</v>
      </c>
      <c r="P38" s="34">
        <v>3.2</v>
      </c>
      <c r="Q38" s="32" t="s">
        <v>94</v>
      </c>
      <c r="T38" s="34" t="s">
        <v>119</v>
      </c>
      <c r="U38" s="32" t="s">
        <v>128</v>
      </c>
      <c r="V38" s="32">
        <v>80</v>
      </c>
      <c r="W38" s="34" t="s">
        <v>89</v>
      </c>
      <c r="X38" s="32" t="str">
        <f t="shared" si="0"/>
        <v>Printed Sticker 42X3.2 CM</v>
      </c>
      <c r="Y38" s="35" t="s">
        <v>163</v>
      </c>
      <c r="Z38" s="32" t="str">
        <f t="shared" si="1"/>
        <v>Sticker 42x3.2 CM Pollar Cutting 80 Glossy Sticker</v>
      </c>
      <c r="AA38" s="32" t="str">
        <f t="shared" si="2"/>
        <v>Printed  Belly Band  61X10 CM</v>
      </c>
      <c r="AB38" s="32" t="s">
        <v>730</v>
      </c>
    </row>
    <row r="39" spans="2:28" x14ac:dyDescent="0.25">
      <c r="B39" s="31" t="s">
        <v>6</v>
      </c>
      <c r="D39" s="32">
        <v>2003</v>
      </c>
      <c r="E39" s="31" t="s">
        <v>6</v>
      </c>
      <c r="F39" s="32" t="s">
        <v>248</v>
      </c>
      <c r="G39" s="31" t="s">
        <v>249</v>
      </c>
      <c r="H39" s="32" t="s">
        <v>97</v>
      </c>
      <c r="I39" s="31" t="s">
        <v>54</v>
      </c>
      <c r="J39" s="32" t="s">
        <v>93</v>
      </c>
      <c r="K39" s="34">
        <v>3</v>
      </c>
      <c r="O39" s="34">
        <v>12</v>
      </c>
      <c r="P39" s="34">
        <v>12</v>
      </c>
      <c r="Q39" s="32" t="s">
        <v>94</v>
      </c>
      <c r="T39" s="32" t="s">
        <v>321</v>
      </c>
      <c r="U39" s="32" t="s">
        <v>110</v>
      </c>
      <c r="V39" s="32">
        <v>300</v>
      </c>
      <c r="W39" s="34" t="s">
        <v>89</v>
      </c>
      <c r="X39" s="32" t="str">
        <f t="shared" si="0"/>
        <v>Printed Inlay Card 12X12 CM</v>
      </c>
      <c r="Y39" s="35" t="s">
        <v>164</v>
      </c>
      <c r="Z39" s="32" t="str">
        <f t="shared" si="1"/>
        <v>Inlay Card 12x12 CM Die &amp; Pollar Cutting 300 Swedish Board</v>
      </c>
      <c r="AA39" s="32" t="str">
        <f t="shared" si="2"/>
        <v>Printed  Belly Band  65X10 CM</v>
      </c>
      <c r="AB39" s="32" t="s">
        <v>731</v>
      </c>
    </row>
    <row r="40" spans="2:28" x14ac:dyDescent="0.25">
      <c r="B40" s="31" t="s">
        <v>6</v>
      </c>
      <c r="D40" s="32">
        <v>2003</v>
      </c>
      <c r="E40" s="31" t="s">
        <v>6</v>
      </c>
      <c r="F40" s="32" t="s">
        <v>248</v>
      </c>
      <c r="G40" s="31" t="s">
        <v>249</v>
      </c>
      <c r="H40" s="32" t="s">
        <v>97</v>
      </c>
      <c r="I40" s="31" t="s">
        <v>659</v>
      </c>
      <c r="J40" s="32" t="s">
        <v>238</v>
      </c>
      <c r="O40" s="34">
        <v>11.7</v>
      </c>
      <c r="P40" s="34">
        <v>8.3000000000000007</v>
      </c>
      <c r="Q40" s="32" t="s">
        <v>95</v>
      </c>
      <c r="T40" s="34" t="s">
        <v>119</v>
      </c>
      <c r="U40" s="32" t="s">
        <v>128</v>
      </c>
      <c r="V40" s="32">
        <v>80</v>
      </c>
      <c r="W40" s="34" t="s">
        <v>89</v>
      </c>
      <c r="X40" s="32" t="str">
        <f t="shared" si="0"/>
        <v>Non Printed Adhesive Paper A4 11.7X8.3 Inch</v>
      </c>
      <c r="Y40" s="35" t="s">
        <v>165</v>
      </c>
      <c r="Z40" s="32" t="str">
        <f>CONCATENATE(I40," ",O40,"x",P40," ",Q40," ",T40," ",V40," ",U40)</f>
        <v>Adhesive Paper A4 11.7x8.3 Inch Pollar Cutting 80 Glossy Sticker</v>
      </c>
      <c r="AA40" s="32" t="str">
        <f t="shared" si="2"/>
        <v>Printed  Belly Band  59X10 CM</v>
      </c>
      <c r="AB40" s="32" t="s">
        <v>732</v>
      </c>
    </row>
    <row r="41" spans="2:28" x14ac:dyDescent="0.25">
      <c r="B41" s="31" t="s">
        <v>6</v>
      </c>
      <c r="D41" s="32">
        <v>2003</v>
      </c>
      <c r="E41" s="31" t="s">
        <v>6</v>
      </c>
      <c r="F41" s="32" t="s">
        <v>248</v>
      </c>
      <c r="G41" s="31" t="s">
        <v>249</v>
      </c>
      <c r="H41" s="32" t="s">
        <v>97</v>
      </c>
      <c r="I41" s="31" t="s">
        <v>53</v>
      </c>
      <c r="J41" s="32" t="s">
        <v>93</v>
      </c>
      <c r="K41" s="34">
        <v>6</v>
      </c>
      <c r="L41" s="31"/>
      <c r="O41" s="34">
        <v>98.5</v>
      </c>
      <c r="P41" s="34">
        <v>15</v>
      </c>
      <c r="Q41" s="32" t="s">
        <v>94</v>
      </c>
      <c r="R41" s="32" t="s">
        <v>166</v>
      </c>
      <c r="S41" s="34"/>
      <c r="T41" s="32" t="s">
        <v>156</v>
      </c>
      <c r="U41" s="32" t="s">
        <v>110</v>
      </c>
      <c r="V41" s="32">
        <v>300</v>
      </c>
      <c r="W41" s="32" t="s">
        <v>89</v>
      </c>
      <c r="X41" s="32" t="str">
        <f t="shared" si="0"/>
        <v>Printed Band Roll 98.5X15 CM</v>
      </c>
      <c r="Y41" s="35" t="s">
        <v>167</v>
      </c>
      <c r="Z41" s="32" t="str">
        <f t="shared" si="1"/>
        <v>Band Roll 98.5x15 CM Die Cutting  300 Swedish Board</v>
      </c>
      <c r="AA41" s="32" t="str">
        <f t="shared" si="2"/>
        <v>Printed Matt Belly Band  31.5X6 CM</v>
      </c>
      <c r="AB41" s="32" t="s">
        <v>733</v>
      </c>
    </row>
    <row r="42" spans="2:28" x14ac:dyDescent="0.25">
      <c r="B42" s="31" t="s">
        <v>6</v>
      </c>
      <c r="D42" s="32">
        <v>2003</v>
      </c>
      <c r="E42" s="31" t="s">
        <v>6</v>
      </c>
      <c r="F42" s="32" t="s">
        <v>248</v>
      </c>
      <c r="G42" s="31" t="s">
        <v>249</v>
      </c>
      <c r="H42" s="32" t="s">
        <v>97</v>
      </c>
      <c r="I42" s="31" t="s">
        <v>53</v>
      </c>
      <c r="J42" s="32" t="s">
        <v>93</v>
      </c>
      <c r="K42" s="34">
        <v>6</v>
      </c>
      <c r="O42" s="32">
        <v>104.5</v>
      </c>
      <c r="P42" s="32">
        <v>15</v>
      </c>
      <c r="Q42" s="32" t="s">
        <v>94</v>
      </c>
      <c r="R42" s="32" t="s">
        <v>166</v>
      </c>
      <c r="S42" s="34"/>
      <c r="T42" s="32" t="s">
        <v>156</v>
      </c>
      <c r="U42" s="32" t="s">
        <v>110</v>
      </c>
      <c r="V42" s="32">
        <v>300</v>
      </c>
      <c r="W42" s="34" t="s">
        <v>89</v>
      </c>
      <c r="X42" s="32" t="str">
        <f t="shared" si="0"/>
        <v>Printed Band Roll 104.5X15 CM</v>
      </c>
      <c r="Y42" s="35" t="s">
        <v>168</v>
      </c>
      <c r="Z42" s="32" t="str">
        <f t="shared" si="1"/>
        <v>Band Roll 104.5x15 CM Die Cutting  300 Swedish Board</v>
      </c>
      <c r="AA42" s="32" t="str">
        <f t="shared" si="2"/>
        <v>Printed Matt Belly Band  33X6 CM</v>
      </c>
      <c r="AB42" s="32" t="s">
        <v>734</v>
      </c>
    </row>
    <row r="43" spans="2:28" x14ac:dyDescent="0.25">
      <c r="B43" s="31" t="s">
        <v>6</v>
      </c>
      <c r="D43" s="32">
        <v>2003</v>
      </c>
      <c r="E43" s="31" t="s">
        <v>6</v>
      </c>
      <c r="F43" s="32" t="s">
        <v>248</v>
      </c>
      <c r="G43" s="31" t="s">
        <v>249</v>
      </c>
      <c r="H43" s="32" t="s">
        <v>97</v>
      </c>
      <c r="I43" s="33" t="s">
        <v>656</v>
      </c>
      <c r="J43" s="32" t="s">
        <v>238</v>
      </c>
      <c r="O43" s="32">
        <v>6</v>
      </c>
      <c r="Q43" s="32" t="s">
        <v>94</v>
      </c>
      <c r="T43" s="32" t="s">
        <v>156</v>
      </c>
      <c r="U43" s="32" t="s">
        <v>169</v>
      </c>
      <c r="V43" s="32">
        <v>80</v>
      </c>
      <c r="W43" s="34" t="s">
        <v>89</v>
      </c>
      <c r="X43" s="32" t="str">
        <f>CONCATENATE(J43," ",I43," ",O43,"X",P43," ",Q43)</f>
        <v>Non Printed Round Sticker  6X CM</v>
      </c>
      <c r="Y43" s="35" t="s">
        <v>170</v>
      </c>
      <c r="Z43" s="32" t="str">
        <f t="shared" si="1"/>
        <v>Round Sticker  6x CM Die Cutting  80 TRANSPERANT STICKER</v>
      </c>
      <c r="AA43" s="32" t="str">
        <f t="shared" si="2"/>
        <v>Printed  Barcode Sticker 10X6 CM</v>
      </c>
      <c r="AB43" s="32" t="s">
        <v>735</v>
      </c>
    </row>
    <row r="44" spans="2:28" x14ac:dyDescent="0.25">
      <c r="B44" s="31" t="s">
        <v>6</v>
      </c>
      <c r="D44" s="32">
        <v>2003</v>
      </c>
      <c r="E44" s="31" t="s">
        <v>6</v>
      </c>
      <c r="F44" s="32" t="s">
        <v>248</v>
      </c>
      <c r="G44" s="31" t="s">
        <v>249</v>
      </c>
      <c r="H44" s="32" t="s">
        <v>97</v>
      </c>
      <c r="I44" s="31" t="s">
        <v>34</v>
      </c>
      <c r="J44" s="32" t="s">
        <v>93</v>
      </c>
      <c r="K44" s="34">
        <v>1</v>
      </c>
      <c r="O44" s="32">
        <v>7</v>
      </c>
      <c r="P44" s="32">
        <v>3</v>
      </c>
      <c r="Q44" s="32" t="s">
        <v>94</v>
      </c>
      <c r="R44" s="32" t="s">
        <v>166</v>
      </c>
      <c r="T44" s="34" t="s">
        <v>119</v>
      </c>
      <c r="U44" s="32" t="s">
        <v>128</v>
      </c>
      <c r="V44" s="32">
        <v>80</v>
      </c>
      <c r="W44" s="34" t="s">
        <v>89</v>
      </c>
      <c r="X44" s="32" t="str">
        <f t="shared" si="0"/>
        <v>Printed Carton Sticker 7X3 CM</v>
      </c>
      <c r="Y44" s="35" t="s">
        <v>171</v>
      </c>
      <c r="Z44" s="32" t="str">
        <f t="shared" si="1"/>
        <v>Carton Sticker 7x3 CM Pollar Cutting 80 Glossy Sticker</v>
      </c>
      <c r="AA44" s="32" t="str">
        <f t="shared" si="2"/>
        <v>Printed Matt Shipping Mark 13.2X9.5 CM</v>
      </c>
      <c r="AB44" s="32" t="s">
        <v>672</v>
      </c>
    </row>
    <row r="45" spans="2:28" x14ac:dyDescent="0.25">
      <c r="B45" s="31" t="s">
        <v>6</v>
      </c>
      <c r="D45" s="32">
        <v>2003</v>
      </c>
      <c r="E45" s="31" t="s">
        <v>6</v>
      </c>
      <c r="F45" s="32" t="s">
        <v>248</v>
      </c>
      <c r="G45" s="31" t="s">
        <v>249</v>
      </c>
      <c r="H45" s="32" t="s">
        <v>97</v>
      </c>
      <c r="I45" s="31" t="s">
        <v>172</v>
      </c>
      <c r="J45" s="32" t="s">
        <v>93</v>
      </c>
      <c r="K45" s="34">
        <v>3</v>
      </c>
      <c r="O45" s="34">
        <v>60</v>
      </c>
      <c r="P45" s="34">
        <v>10</v>
      </c>
      <c r="Q45" s="32" t="s">
        <v>94</v>
      </c>
      <c r="T45" s="34" t="s">
        <v>119</v>
      </c>
      <c r="U45" s="32" t="s">
        <v>173</v>
      </c>
      <c r="V45" s="32">
        <v>270</v>
      </c>
      <c r="W45" s="34" t="s">
        <v>89</v>
      </c>
      <c r="X45" s="32" t="str">
        <f t="shared" si="0"/>
        <v>Printed Belly Band 60X10 CM</v>
      </c>
      <c r="Y45" s="35" t="s">
        <v>174</v>
      </c>
      <c r="Z45" s="32" t="str">
        <f t="shared" si="1"/>
        <v>Belly Band 60x10 CM Pollar Cutting 270 Kraft Paper</v>
      </c>
      <c r="AA45" s="32" t="str">
        <f t="shared" si="2"/>
        <v>Printed  Insert 25.5X12.5 CM</v>
      </c>
      <c r="AB45" s="32" t="s">
        <v>736</v>
      </c>
    </row>
    <row r="46" spans="2:28" x14ac:dyDescent="0.25">
      <c r="B46" s="31" t="s">
        <v>6</v>
      </c>
      <c r="D46" s="32">
        <v>2003</v>
      </c>
      <c r="E46" s="31" t="s">
        <v>6</v>
      </c>
      <c r="F46" s="32" t="s">
        <v>248</v>
      </c>
      <c r="G46" s="31" t="s">
        <v>249</v>
      </c>
      <c r="H46" s="32" t="s">
        <v>97</v>
      </c>
      <c r="I46" s="31" t="s">
        <v>175</v>
      </c>
      <c r="J46" s="32" t="s">
        <v>93</v>
      </c>
      <c r="K46" s="34">
        <v>3</v>
      </c>
      <c r="O46" s="34">
        <v>61</v>
      </c>
      <c r="P46" s="34">
        <v>10</v>
      </c>
      <c r="Q46" s="32" t="s">
        <v>94</v>
      </c>
      <c r="T46" s="34" t="s">
        <v>119</v>
      </c>
      <c r="U46" s="32" t="s">
        <v>173</v>
      </c>
      <c r="V46" s="32">
        <v>270</v>
      </c>
      <c r="W46" s="34" t="s">
        <v>89</v>
      </c>
      <c r="X46" s="32" t="str">
        <f t="shared" si="0"/>
        <v>Printed Belly Band  61X10 CM</v>
      </c>
      <c r="Y46" s="35" t="s">
        <v>176</v>
      </c>
      <c r="Z46" s="32" t="str">
        <f t="shared" si="1"/>
        <v>Belly Band  61x10 CM Pollar Cutting 270 Kraft Paper</v>
      </c>
      <c r="AA46" s="32" t="str">
        <f t="shared" si="2"/>
        <v>Printed  Insert  15.7X8.5 CM</v>
      </c>
      <c r="AB46" s="32" t="s">
        <v>737</v>
      </c>
    </row>
    <row r="47" spans="2:28" x14ac:dyDescent="0.25">
      <c r="B47" s="31" t="s">
        <v>6</v>
      </c>
      <c r="D47" s="32">
        <v>2003</v>
      </c>
      <c r="E47" s="31" t="s">
        <v>6</v>
      </c>
      <c r="F47" s="32" t="s">
        <v>248</v>
      </c>
      <c r="G47" s="31" t="s">
        <v>249</v>
      </c>
      <c r="H47" s="32" t="s">
        <v>97</v>
      </c>
      <c r="I47" s="31" t="s">
        <v>175</v>
      </c>
      <c r="J47" s="32" t="s">
        <v>93</v>
      </c>
      <c r="K47" s="34">
        <v>3</v>
      </c>
      <c r="O47" s="34">
        <v>65</v>
      </c>
      <c r="P47" s="34">
        <v>10</v>
      </c>
      <c r="Q47" s="32" t="s">
        <v>94</v>
      </c>
      <c r="T47" s="34" t="s">
        <v>119</v>
      </c>
      <c r="U47" s="32" t="s">
        <v>173</v>
      </c>
      <c r="V47" s="32">
        <v>270</v>
      </c>
      <c r="W47" s="34" t="s">
        <v>89</v>
      </c>
      <c r="X47" s="32" t="str">
        <f t="shared" si="0"/>
        <v>Printed Belly Band  65X10 CM</v>
      </c>
      <c r="Y47" s="35" t="s">
        <v>177</v>
      </c>
      <c r="Z47" s="32" t="str">
        <f t="shared" si="1"/>
        <v>Belly Band  65x10 CM Pollar Cutting 270 Kraft Paper</v>
      </c>
      <c r="AA47" s="32" t="str">
        <f t="shared" si="2"/>
        <v>Printed  Insert  22.5X12.5 CM</v>
      </c>
      <c r="AB47" s="32" t="s">
        <v>738</v>
      </c>
    </row>
    <row r="48" spans="2:28" x14ac:dyDescent="0.25">
      <c r="B48" s="31" t="s">
        <v>6</v>
      </c>
      <c r="D48" s="32">
        <v>2003</v>
      </c>
      <c r="E48" s="31" t="s">
        <v>6</v>
      </c>
      <c r="F48" s="32" t="s">
        <v>248</v>
      </c>
      <c r="G48" s="31" t="s">
        <v>249</v>
      </c>
      <c r="H48" s="32" t="s">
        <v>97</v>
      </c>
      <c r="I48" s="31" t="s">
        <v>175</v>
      </c>
      <c r="J48" s="32" t="s">
        <v>93</v>
      </c>
      <c r="K48" s="34">
        <v>3</v>
      </c>
      <c r="O48" s="34">
        <v>59</v>
      </c>
      <c r="P48" s="34">
        <v>10</v>
      </c>
      <c r="Q48" s="32" t="s">
        <v>94</v>
      </c>
      <c r="T48" s="34" t="s">
        <v>119</v>
      </c>
      <c r="U48" s="32" t="s">
        <v>173</v>
      </c>
      <c r="V48" s="32">
        <v>270</v>
      </c>
      <c r="W48" s="34" t="s">
        <v>89</v>
      </c>
      <c r="X48" s="32" t="str">
        <f t="shared" si="0"/>
        <v>Printed Belly Band  59X10 CM</v>
      </c>
      <c r="Y48" s="35" t="s">
        <v>178</v>
      </c>
      <c r="Z48" s="32" t="str">
        <f t="shared" si="1"/>
        <v>Belly Band  59x10 CM Pollar Cutting 270 Kraft Paper</v>
      </c>
      <c r="AA48" s="32" t="str">
        <f t="shared" si="2"/>
        <v>Printed  Hang Tag 10X6 CM</v>
      </c>
      <c r="AB48" s="32" t="s">
        <v>739</v>
      </c>
    </row>
    <row r="49" spans="2:28" x14ac:dyDescent="0.25">
      <c r="B49" s="31" t="s">
        <v>6</v>
      </c>
      <c r="D49" s="32">
        <v>2003</v>
      </c>
      <c r="E49" s="31" t="s">
        <v>6</v>
      </c>
      <c r="F49" s="32" t="s">
        <v>248</v>
      </c>
      <c r="G49" s="31" t="s">
        <v>249</v>
      </c>
      <c r="H49" s="32" t="s">
        <v>97</v>
      </c>
      <c r="I49" s="31" t="s">
        <v>175</v>
      </c>
      <c r="J49" s="32" t="s">
        <v>93</v>
      </c>
      <c r="K49" s="34">
        <v>3</v>
      </c>
      <c r="O49" s="34">
        <v>31.5</v>
      </c>
      <c r="P49" s="34">
        <v>6</v>
      </c>
      <c r="Q49" s="32" t="s">
        <v>94</v>
      </c>
      <c r="T49" s="34" t="s">
        <v>119</v>
      </c>
      <c r="U49" s="32" t="s">
        <v>173</v>
      </c>
      <c r="V49" s="32">
        <v>270</v>
      </c>
      <c r="W49" s="34" t="s">
        <v>89</v>
      </c>
      <c r="X49" s="32" t="str">
        <f t="shared" si="0"/>
        <v>Printed Belly Band  31.5X6 CM</v>
      </c>
      <c r="Y49" s="35" t="s">
        <v>179</v>
      </c>
      <c r="Z49" s="32" t="str">
        <f t="shared" si="1"/>
        <v>Belly Band  31.5x6 CM Pollar Cutting 270 Kraft Paper</v>
      </c>
      <c r="AA49" s="32" t="str">
        <f t="shared" si="2"/>
        <v>Printed  Belly Band  42X9 CM</v>
      </c>
      <c r="AB49" s="32" t="s">
        <v>740</v>
      </c>
    </row>
    <row r="50" spans="2:28" x14ac:dyDescent="0.25">
      <c r="B50" s="31" t="s">
        <v>6</v>
      </c>
      <c r="D50" s="32">
        <v>2003</v>
      </c>
      <c r="E50" s="31" t="s">
        <v>6</v>
      </c>
      <c r="F50" s="32" t="s">
        <v>248</v>
      </c>
      <c r="G50" s="31" t="s">
        <v>249</v>
      </c>
      <c r="H50" s="32" t="s">
        <v>97</v>
      </c>
      <c r="I50" s="31" t="s">
        <v>175</v>
      </c>
      <c r="J50" s="32" t="s">
        <v>93</v>
      </c>
      <c r="K50" s="34">
        <v>3</v>
      </c>
      <c r="O50" s="34">
        <v>33</v>
      </c>
      <c r="P50" s="34">
        <v>6</v>
      </c>
      <c r="Q50" s="32" t="s">
        <v>94</v>
      </c>
      <c r="T50" s="34" t="s">
        <v>119</v>
      </c>
      <c r="U50" s="32" t="s">
        <v>173</v>
      </c>
      <c r="V50" s="32">
        <v>270</v>
      </c>
      <c r="W50" s="34" t="s">
        <v>89</v>
      </c>
      <c r="X50" s="32" t="str">
        <f t="shared" si="0"/>
        <v>Printed Belly Band  33X6 CM</v>
      </c>
      <c r="Y50" s="35" t="s">
        <v>180</v>
      </c>
      <c r="Z50" s="32" t="str">
        <f t="shared" si="1"/>
        <v>Belly Band  33x6 CM Pollar Cutting 270 Kraft Paper</v>
      </c>
      <c r="AA50" s="32" t="str">
        <f t="shared" si="2"/>
        <v>Printed  Belly Band  41X9 CM</v>
      </c>
      <c r="AB50" s="32" t="s">
        <v>741</v>
      </c>
    </row>
    <row r="51" spans="2:28" x14ac:dyDescent="0.25">
      <c r="B51" s="31" t="s">
        <v>6</v>
      </c>
      <c r="D51" s="32">
        <v>2003</v>
      </c>
      <c r="E51" s="31" t="s">
        <v>6</v>
      </c>
      <c r="F51" s="32" t="s">
        <v>248</v>
      </c>
      <c r="G51" s="31" t="s">
        <v>249</v>
      </c>
      <c r="H51" s="32" t="s">
        <v>97</v>
      </c>
      <c r="I51" s="31" t="s">
        <v>147</v>
      </c>
      <c r="J51" s="32" t="s">
        <v>93</v>
      </c>
      <c r="K51" s="34">
        <v>2</v>
      </c>
      <c r="O51" s="34">
        <v>10</v>
      </c>
      <c r="P51" s="34">
        <v>6</v>
      </c>
      <c r="Q51" s="32" t="s">
        <v>94</v>
      </c>
      <c r="T51" s="34" t="s">
        <v>119</v>
      </c>
      <c r="U51" s="32" t="s">
        <v>128</v>
      </c>
      <c r="V51" s="32">
        <v>80</v>
      </c>
      <c r="W51" s="34" t="s">
        <v>89</v>
      </c>
      <c r="X51" s="32" t="str">
        <f t="shared" si="0"/>
        <v>Printed Barcode Sticker 10X6 CM</v>
      </c>
      <c r="Y51" s="35" t="s">
        <v>183</v>
      </c>
      <c r="Z51" s="32" t="str">
        <f t="shared" si="1"/>
        <v>Barcode Sticker 10x6 CM Pollar Cutting 80 Glossy Sticker</v>
      </c>
      <c r="AA51" s="32" t="str">
        <f t="shared" si="2"/>
        <v>Printed  Insert  23.3X12.3 CM</v>
      </c>
      <c r="AB51" s="32" t="s">
        <v>742</v>
      </c>
    </row>
    <row r="52" spans="2:28" x14ac:dyDescent="0.25">
      <c r="B52" s="31" t="s">
        <v>6</v>
      </c>
      <c r="D52" s="32">
        <v>2003</v>
      </c>
      <c r="E52" s="31" t="s">
        <v>6</v>
      </c>
      <c r="F52" s="32" t="s">
        <v>248</v>
      </c>
      <c r="G52" s="31" t="s">
        <v>249</v>
      </c>
      <c r="H52" s="32" t="s">
        <v>97</v>
      </c>
      <c r="I52" s="35" t="s">
        <v>651</v>
      </c>
      <c r="J52" s="32" t="s">
        <v>93</v>
      </c>
      <c r="K52" s="34">
        <v>2</v>
      </c>
      <c r="O52" s="34">
        <v>13.2</v>
      </c>
      <c r="P52" s="34">
        <v>9.5</v>
      </c>
      <c r="Q52" s="32" t="s">
        <v>94</v>
      </c>
      <c r="T52" s="34" t="s">
        <v>119</v>
      </c>
      <c r="U52" s="32" t="s">
        <v>128</v>
      </c>
      <c r="V52" s="32">
        <v>80</v>
      </c>
      <c r="W52" s="34" t="s">
        <v>89</v>
      </c>
      <c r="X52" s="32" t="str">
        <f t="shared" si="0"/>
        <v>Printed Shipping Mark 13.2X9.5 CM</v>
      </c>
      <c r="Y52" s="37" t="s">
        <v>184</v>
      </c>
      <c r="Z52" s="32" t="str">
        <f t="shared" si="1"/>
        <v>Shipping Mark 13.2x9.5 CM Pollar Cutting 80 Glossy Sticker</v>
      </c>
      <c r="AA52" s="32" t="str">
        <f t="shared" si="2"/>
        <v>Printed  Band Roll 15.5X12.3 CM</v>
      </c>
      <c r="AB52" s="32" t="s">
        <v>743</v>
      </c>
    </row>
    <row r="53" spans="2:28" x14ac:dyDescent="0.25">
      <c r="B53" s="31" t="s">
        <v>6</v>
      </c>
      <c r="D53" s="32">
        <v>2003</v>
      </c>
      <c r="E53" s="31" t="s">
        <v>6</v>
      </c>
      <c r="F53" s="32" t="s">
        <v>248</v>
      </c>
      <c r="G53" s="31" t="s">
        <v>249</v>
      </c>
      <c r="H53" s="32" t="s">
        <v>97</v>
      </c>
      <c r="I53" s="31" t="s">
        <v>46</v>
      </c>
      <c r="J53" s="32" t="s">
        <v>93</v>
      </c>
      <c r="K53" s="34">
        <v>2</v>
      </c>
      <c r="O53" s="34">
        <v>25.5</v>
      </c>
      <c r="P53" s="34">
        <v>12.5</v>
      </c>
      <c r="Q53" s="32" t="s">
        <v>94</v>
      </c>
      <c r="T53" s="32" t="s">
        <v>119</v>
      </c>
      <c r="U53" s="32" t="s">
        <v>187</v>
      </c>
      <c r="V53" s="32">
        <v>300</v>
      </c>
      <c r="W53" s="34" t="s">
        <v>89</v>
      </c>
      <c r="X53" s="32" t="str">
        <f t="shared" ref="X53:X78" si="3">CONCATENATE(J53," ",I53," ",O53,"X",P53," ",Q53)</f>
        <v>Printed Insert 25.5X12.5 CM</v>
      </c>
      <c r="Y53" s="36" t="s">
        <v>190</v>
      </c>
      <c r="Z53" s="32" t="str">
        <f t="shared" si="1"/>
        <v>Insert 25.5x12.5 CM Pollar Cutting 300 Duplex Board</v>
      </c>
      <c r="AA53" s="32" t="str">
        <f t="shared" si="2"/>
        <v>Printed  Insert  25.5X12.3 CM</v>
      </c>
      <c r="AB53" s="32" t="s">
        <v>744</v>
      </c>
    </row>
    <row r="54" spans="2:28" x14ac:dyDescent="0.25">
      <c r="B54" s="31" t="s">
        <v>6</v>
      </c>
      <c r="D54" s="32">
        <v>2003</v>
      </c>
      <c r="E54" s="31" t="s">
        <v>6</v>
      </c>
      <c r="F54" s="32" t="s">
        <v>248</v>
      </c>
      <c r="G54" s="31" t="s">
        <v>249</v>
      </c>
      <c r="H54" s="32" t="s">
        <v>97</v>
      </c>
      <c r="I54" s="31" t="s">
        <v>112</v>
      </c>
      <c r="J54" s="32" t="s">
        <v>93</v>
      </c>
      <c r="K54" s="34">
        <v>2</v>
      </c>
      <c r="O54" s="34">
        <v>15.7</v>
      </c>
      <c r="P54" s="34">
        <v>8.5</v>
      </c>
      <c r="Q54" s="32" t="s">
        <v>94</v>
      </c>
      <c r="S54" s="32" t="s">
        <v>166</v>
      </c>
      <c r="T54" s="32" t="s">
        <v>119</v>
      </c>
      <c r="U54" s="32" t="s">
        <v>106</v>
      </c>
      <c r="V54" s="32">
        <v>150</v>
      </c>
      <c r="W54" s="34" t="s">
        <v>89</v>
      </c>
      <c r="X54" s="32" t="str">
        <f t="shared" si="3"/>
        <v>Printed Insert  15.7X8.5 CM</v>
      </c>
      <c r="Y54" s="36" t="s">
        <v>194</v>
      </c>
      <c r="Z54" s="32" t="str">
        <f t="shared" si="1"/>
        <v>Insert  15.7x8.5 CM Pollar Cutting 150 Plastic Card</v>
      </c>
      <c r="AA54" s="32" t="str">
        <f t="shared" si="2"/>
        <v>Printed  Insert  27X12.3 CM</v>
      </c>
      <c r="AB54" s="32" t="s">
        <v>745</v>
      </c>
    </row>
    <row r="55" spans="2:28" x14ac:dyDescent="0.25">
      <c r="B55" s="31" t="s">
        <v>6</v>
      </c>
      <c r="D55" s="32">
        <v>2003</v>
      </c>
      <c r="E55" s="31" t="s">
        <v>6</v>
      </c>
      <c r="F55" s="32" t="s">
        <v>248</v>
      </c>
      <c r="G55" s="31" t="s">
        <v>249</v>
      </c>
      <c r="H55" s="32" t="s">
        <v>97</v>
      </c>
      <c r="I55" s="31" t="s">
        <v>112</v>
      </c>
      <c r="J55" s="32" t="s">
        <v>93</v>
      </c>
      <c r="K55" s="34">
        <v>2</v>
      </c>
      <c r="O55" s="34">
        <v>22.5</v>
      </c>
      <c r="P55" s="34">
        <v>12.5</v>
      </c>
      <c r="Q55" s="32" t="s">
        <v>94</v>
      </c>
      <c r="T55" s="32" t="s">
        <v>119</v>
      </c>
      <c r="U55" s="32" t="s">
        <v>187</v>
      </c>
      <c r="V55" s="32">
        <v>300</v>
      </c>
      <c r="W55" s="34" t="s">
        <v>89</v>
      </c>
      <c r="X55" s="32" t="str">
        <f t="shared" si="3"/>
        <v>Printed Insert  22.5X12.5 CM</v>
      </c>
      <c r="Y55" s="36" t="s">
        <v>195</v>
      </c>
      <c r="Z55" s="32" t="str">
        <f t="shared" si="1"/>
        <v>Insert  22.5x12.5 CM Pollar Cutting 300 Duplex Board</v>
      </c>
      <c r="AA55" s="32" t="str">
        <f t="shared" si="2"/>
        <v>Printed  Barcode Sticker 9.2X1.6 CM</v>
      </c>
      <c r="AB55" s="32" t="s">
        <v>746</v>
      </c>
    </row>
    <row r="56" spans="2:28" x14ac:dyDescent="0.25">
      <c r="B56" s="31" t="s">
        <v>6</v>
      </c>
      <c r="D56" s="32">
        <v>2003</v>
      </c>
      <c r="E56" s="31" t="s">
        <v>6</v>
      </c>
      <c r="F56" s="32" t="s">
        <v>248</v>
      </c>
      <c r="G56" s="31" t="s">
        <v>249</v>
      </c>
      <c r="H56" s="32" t="s">
        <v>97</v>
      </c>
      <c r="I56" s="31" t="s">
        <v>155</v>
      </c>
      <c r="J56" s="32" t="s">
        <v>93</v>
      </c>
      <c r="K56" s="34">
        <v>4</v>
      </c>
      <c r="O56" s="34">
        <v>10</v>
      </c>
      <c r="P56" s="34">
        <v>6</v>
      </c>
      <c r="Q56" s="32" t="s">
        <v>94</v>
      </c>
      <c r="T56" s="32" t="s">
        <v>156</v>
      </c>
      <c r="U56" s="32" t="s">
        <v>237</v>
      </c>
      <c r="V56" s="32">
        <v>300</v>
      </c>
      <c r="W56" s="34" t="s">
        <v>89</v>
      </c>
      <c r="X56" s="32" t="str">
        <f t="shared" si="3"/>
        <v>Printed Hang Tag 10X6 CM</v>
      </c>
      <c r="Y56" s="35" t="s">
        <v>196</v>
      </c>
      <c r="Z56" s="32" t="str">
        <f t="shared" si="1"/>
        <v>Hang Tag 10x6 CM Die Cutting  300 Art Card</v>
      </c>
      <c r="AA56" s="32" t="str">
        <f t="shared" si="2"/>
        <v>Printed  Sticker 40X37 MM</v>
      </c>
      <c r="AB56" s="32" t="s">
        <v>747</v>
      </c>
    </row>
    <row r="57" spans="2:28" x14ac:dyDescent="0.25">
      <c r="B57" s="31" t="s">
        <v>6</v>
      </c>
      <c r="D57" s="32">
        <v>2003</v>
      </c>
      <c r="E57" s="31" t="s">
        <v>6</v>
      </c>
      <c r="F57" s="32" t="s">
        <v>248</v>
      </c>
      <c r="G57" s="31" t="s">
        <v>249</v>
      </c>
      <c r="H57" s="32" t="s">
        <v>97</v>
      </c>
      <c r="I57" s="31" t="s">
        <v>175</v>
      </c>
      <c r="J57" s="32" t="s">
        <v>93</v>
      </c>
      <c r="K57" s="34">
        <v>4</v>
      </c>
      <c r="O57" s="34">
        <v>42</v>
      </c>
      <c r="P57" s="34">
        <v>9</v>
      </c>
      <c r="Q57" s="32" t="s">
        <v>94</v>
      </c>
      <c r="R57" s="32" t="s">
        <v>166</v>
      </c>
      <c r="T57" s="32" t="s">
        <v>119</v>
      </c>
      <c r="U57" s="32" t="s">
        <v>237</v>
      </c>
      <c r="V57" s="32">
        <v>300</v>
      </c>
      <c r="W57" s="34" t="s">
        <v>89</v>
      </c>
      <c r="X57" s="32" t="str">
        <f t="shared" si="3"/>
        <v>Printed Belly Band  42X9 CM</v>
      </c>
      <c r="Y57" s="35" t="s">
        <v>197</v>
      </c>
      <c r="Z57" s="32" t="str">
        <f t="shared" si="1"/>
        <v>Belly Band  42x9 CM Pollar Cutting 300 Art Card</v>
      </c>
      <c r="AA57" s="32" t="str">
        <f t="shared" si="2"/>
        <v>Printed Matt Sticker 26X8 MM</v>
      </c>
      <c r="AB57" s="32" t="s">
        <v>673</v>
      </c>
    </row>
    <row r="58" spans="2:28" x14ac:dyDescent="0.25">
      <c r="B58" s="31" t="s">
        <v>6</v>
      </c>
      <c r="D58" s="32">
        <v>2003</v>
      </c>
      <c r="E58" s="31" t="s">
        <v>6</v>
      </c>
      <c r="F58" s="32" t="s">
        <v>248</v>
      </c>
      <c r="G58" s="31" t="s">
        <v>249</v>
      </c>
      <c r="H58" s="32" t="s">
        <v>97</v>
      </c>
      <c r="I58" s="31" t="s">
        <v>175</v>
      </c>
      <c r="J58" s="32" t="s">
        <v>93</v>
      </c>
      <c r="K58" s="34">
        <v>4</v>
      </c>
      <c r="O58" s="34">
        <v>41</v>
      </c>
      <c r="P58" s="34">
        <v>9</v>
      </c>
      <c r="Q58" s="32" t="s">
        <v>94</v>
      </c>
      <c r="R58" s="32" t="s">
        <v>166</v>
      </c>
      <c r="T58" s="32" t="s">
        <v>119</v>
      </c>
      <c r="U58" s="32" t="s">
        <v>237</v>
      </c>
      <c r="V58" s="32">
        <v>300</v>
      </c>
      <c r="W58" s="34" t="s">
        <v>89</v>
      </c>
      <c r="X58" s="32" t="str">
        <f t="shared" si="3"/>
        <v>Printed Belly Band  41X9 CM</v>
      </c>
      <c r="Y58" s="35" t="s">
        <v>198</v>
      </c>
      <c r="Z58" s="32" t="str">
        <f t="shared" si="1"/>
        <v>Belly Band  41x9 CM Pollar Cutting 300 Art Card</v>
      </c>
      <c r="AA58" s="32" t="str">
        <f t="shared" si="2"/>
        <v>Non Printed Matt Sticker 11.7X8.3 Inch</v>
      </c>
      <c r="AB58" s="32" t="s">
        <v>674</v>
      </c>
    </row>
    <row r="59" spans="2:28" x14ac:dyDescent="0.25">
      <c r="B59" s="31" t="s">
        <v>6</v>
      </c>
      <c r="D59" s="32">
        <v>2003</v>
      </c>
      <c r="E59" s="31" t="s">
        <v>6</v>
      </c>
      <c r="F59" s="32" t="s">
        <v>248</v>
      </c>
      <c r="G59" s="31" t="s">
        <v>249</v>
      </c>
      <c r="H59" s="32" t="s">
        <v>97</v>
      </c>
      <c r="I59" s="31" t="s">
        <v>112</v>
      </c>
      <c r="J59" s="32" t="s">
        <v>93</v>
      </c>
      <c r="K59" s="34">
        <v>3</v>
      </c>
      <c r="O59" s="34">
        <v>23.3</v>
      </c>
      <c r="P59" s="34">
        <v>12.3</v>
      </c>
      <c r="Q59" s="32" t="s">
        <v>94</v>
      </c>
      <c r="T59" s="32" t="s">
        <v>321</v>
      </c>
      <c r="U59" s="32" t="s">
        <v>187</v>
      </c>
      <c r="V59" s="32">
        <v>300</v>
      </c>
      <c r="W59" s="34" t="s">
        <v>89</v>
      </c>
      <c r="X59" s="32" t="str">
        <f t="shared" si="3"/>
        <v>Printed Insert  23.3X12.3 CM</v>
      </c>
      <c r="Y59" s="36" t="s">
        <v>199</v>
      </c>
      <c r="Z59" s="32" t="str">
        <f t="shared" si="1"/>
        <v>Insert  23.3x12.3 CM Die &amp; Pollar Cutting 300 Duplex Board</v>
      </c>
      <c r="AA59" s="32" t="str">
        <f t="shared" si="2"/>
        <v>Printed  Size Sticker 20X MM</v>
      </c>
      <c r="AB59" s="32" t="s">
        <v>748</v>
      </c>
    </row>
    <row r="60" spans="2:28" x14ac:dyDescent="0.25">
      <c r="B60" s="31" t="s">
        <v>6</v>
      </c>
      <c r="D60" s="32">
        <v>2003</v>
      </c>
      <c r="E60" s="31" t="s">
        <v>6</v>
      </c>
      <c r="F60" s="32" t="s">
        <v>248</v>
      </c>
      <c r="G60" s="31" t="s">
        <v>249</v>
      </c>
      <c r="H60" s="32" t="s">
        <v>97</v>
      </c>
      <c r="I60" s="38" t="s">
        <v>53</v>
      </c>
      <c r="J60" s="32" t="s">
        <v>93</v>
      </c>
      <c r="K60" s="34">
        <v>3</v>
      </c>
      <c r="O60" s="34">
        <v>15.5</v>
      </c>
      <c r="P60" s="34">
        <v>12.3</v>
      </c>
      <c r="Q60" s="32" t="s">
        <v>94</v>
      </c>
      <c r="T60" s="32" t="s">
        <v>321</v>
      </c>
      <c r="U60" s="32" t="s">
        <v>187</v>
      </c>
      <c r="V60" s="32">
        <v>300</v>
      </c>
      <c r="W60" s="34" t="s">
        <v>89</v>
      </c>
      <c r="X60" s="32" t="str">
        <f t="shared" si="3"/>
        <v>Printed Band Roll 15.5X12.3 CM</v>
      </c>
      <c r="Y60" s="35" t="s">
        <v>200</v>
      </c>
      <c r="Z60" s="32" t="str">
        <f t="shared" si="1"/>
        <v>Band Roll 15.5x12.3 CM Die &amp; Pollar Cutting 300 Duplex Board</v>
      </c>
      <c r="AA60" s="32" t="str">
        <f t="shared" si="2"/>
        <v>Printed  Barcode Sticker 5.7X3.2 CM</v>
      </c>
      <c r="AB60" s="32" t="s">
        <v>749</v>
      </c>
    </row>
    <row r="61" spans="2:28" x14ac:dyDescent="0.25">
      <c r="B61" s="31" t="s">
        <v>6</v>
      </c>
      <c r="D61" s="32">
        <v>2003</v>
      </c>
      <c r="E61" s="31" t="s">
        <v>6</v>
      </c>
      <c r="F61" s="32" t="s">
        <v>248</v>
      </c>
      <c r="G61" s="31" t="s">
        <v>249</v>
      </c>
      <c r="H61" s="32" t="s">
        <v>97</v>
      </c>
      <c r="I61" s="31" t="s">
        <v>112</v>
      </c>
      <c r="J61" s="32" t="s">
        <v>93</v>
      </c>
      <c r="K61" s="34">
        <v>3</v>
      </c>
      <c r="O61" s="34">
        <v>25.5</v>
      </c>
      <c r="P61" s="34">
        <v>12.3</v>
      </c>
      <c r="Q61" s="32" t="s">
        <v>94</v>
      </c>
      <c r="T61" s="32" t="s">
        <v>321</v>
      </c>
      <c r="U61" s="32" t="s">
        <v>187</v>
      </c>
      <c r="V61" s="32">
        <v>300</v>
      </c>
      <c r="W61" s="34" t="s">
        <v>89</v>
      </c>
      <c r="X61" s="32" t="str">
        <f t="shared" si="3"/>
        <v>Printed Insert  25.5X12.3 CM</v>
      </c>
      <c r="Y61" s="36" t="s">
        <v>201</v>
      </c>
      <c r="Z61" s="32" t="str">
        <f t="shared" si="1"/>
        <v>Insert  25.5x12.3 CM Die &amp; Pollar Cutting 300 Duplex Board</v>
      </c>
      <c r="AA61" s="32" t="str">
        <f t="shared" si="2"/>
        <v>Printed  Set Barcode 5X4 CM</v>
      </c>
      <c r="AB61" s="32" t="s">
        <v>750</v>
      </c>
    </row>
    <row r="62" spans="2:28" x14ac:dyDescent="0.25">
      <c r="B62" s="31" t="s">
        <v>6</v>
      </c>
      <c r="D62" s="32">
        <v>2003</v>
      </c>
      <c r="E62" s="31" t="s">
        <v>6</v>
      </c>
      <c r="F62" s="32" t="s">
        <v>248</v>
      </c>
      <c r="G62" s="31" t="s">
        <v>249</v>
      </c>
      <c r="H62" s="32" t="s">
        <v>97</v>
      </c>
      <c r="I62" s="31" t="s">
        <v>112</v>
      </c>
      <c r="J62" s="32" t="s">
        <v>93</v>
      </c>
      <c r="K62" s="34">
        <v>3</v>
      </c>
      <c r="O62" s="34">
        <v>27</v>
      </c>
      <c r="P62" s="34">
        <v>12.3</v>
      </c>
      <c r="Q62" s="32" t="s">
        <v>94</v>
      </c>
      <c r="T62" s="32" t="s">
        <v>321</v>
      </c>
      <c r="U62" s="32" t="s">
        <v>187</v>
      </c>
      <c r="V62" s="32">
        <v>300</v>
      </c>
      <c r="W62" s="34" t="s">
        <v>89</v>
      </c>
      <c r="X62" s="32" t="str">
        <f t="shared" si="3"/>
        <v>Printed Insert  27X12.3 CM</v>
      </c>
      <c r="Y62" s="36" t="s">
        <v>202</v>
      </c>
      <c r="Z62" s="32" t="str">
        <f t="shared" si="1"/>
        <v>Insert  27x12.3 CM Die &amp; Pollar Cutting 300 Duplex Board</v>
      </c>
      <c r="AA62" s="32" t="str">
        <f t="shared" si="2"/>
        <v>Printed  Shipping Mark  28X20 CM</v>
      </c>
      <c r="AB62" s="32" t="s">
        <v>751</v>
      </c>
    </row>
    <row r="63" spans="2:28" x14ac:dyDescent="0.25">
      <c r="B63" s="31" t="s">
        <v>6</v>
      </c>
      <c r="D63" s="32">
        <v>2003</v>
      </c>
      <c r="E63" s="31" t="s">
        <v>6</v>
      </c>
      <c r="F63" s="32" t="s">
        <v>248</v>
      </c>
      <c r="G63" s="31" t="s">
        <v>249</v>
      </c>
      <c r="H63" s="32" t="s">
        <v>97</v>
      </c>
      <c r="I63" s="31" t="s">
        <v>147</v>
      </c>
      <c r="J63" s="32" t="s">
        <v>93</v>
      </c>
      <c r="K63" s="34">
        <v>2</v>
      </c>
      <c r="O63" s="34">
        <v>9.1999999999999993</v>
      </c>
      <c r="P63" s="34">
        <v>1.6</v>
      </c>
      <c r="Q63" s="32" t="s">
        <v>94</v>
      </c>
      <c r="T63" s="32" t="s">
        <v>119</v>
      </c>
      <c r="U63" s="32" t="s">
        <v>128</v>
      </c>
      <c r="V63" s="32">
        <v>80</v>
      </c>
      <c r="W63" s="34" t="s">
        <v>89</v>
      </c>
      <c r="X63" s="32" t="str">
        <f t="shared" si="3"/>
        <v>Printed Barcode Sticker 9.2X1.6 CM</v>
      </c>
      <c r="Y63" s="35" t="s">
        <v>203</v>
      </c>
      <c r="Z63" s="32" t="str">
        <f t="shared" si="1"/>
        <v>Barcode Sticker 9.2x1.6 CM Pollar Cutting 80 Glossy Sticker</v>
      </c>
      <c r="AA63" s="32" t="str">
        <f t="shared" si="2"/>
        <v>Printed  Belly Band 74X13 CM</v>
      </c>
      <c r="AB63" s="32" t="s">
        <v>752</v>
      </c>
    </row>
    <row r="64" spans="2:28" x14ac:dyDescent="0.25">
      <c r="B64" s="31" t="s">
        <v>6</v>
      </c>
      <c r="D64" s="32">
        <v>2003</v>
      </c>
      <c r="E64" s="31" t="s">
        <v>6</v>
      </c>
      <c r="F64" s="32" t="s">
        <v>248</v>
      </c>
      <c r="G64" s="31" t="s">
        <v>249</v>
      </c>
      <c r="H64" s="32" t="s">
        <v>97</v>
      </c>
      <c r="I64" s="33" t="s">
        <v>102</v>
      </c>
      <c r="J64" s="32" t="s">
        <v>93</v>
      </c>
      <c r="K64" s="34">
        <v>4</v>
      </c>
      <c r="O64" s="34">
        <v>40</v>
      </c>
      <c r="P64" s="34">
        <v>37</v>
      </c>
      <c r="Q64" s="32" t="s">
        <v>96</v>
      </c>
      <c r="T64" s="32" t="s">
        <v>119</v>
      </c>
      <c r="U64" s="32" t="s">
        <v>128</v>
      </c>
      <c r="V64" s="32">
        <v>80</v>
      </c>
      <c r="W64" s="34" t="s">
        <v>89</v>
      </c>
      <c r="X64" s="32" t="str">
        <f t="shared" si="3"/>
        <v>Printed Sticker 40X37 MM</v>
      </c>
      <c r="Y64" s="35" t="s">
        <v>204</v>
      </c>
      <c r="Z64" s="32" t="str">
        <f t="shared" si="1"/>
        <v>Sticker 40x37 MM Pollar Cutting 80 Glossy Sticker</v>
      </c>
      <c r="AA64" s="32" t="str">
        <f t="shared" si="2"/>
        <v>Printed  Sticker  10X7.5 CM</v>
      </c>
      <c r="AB64" s="32" t="s">
        <v>753</v>
      </c>
    </row>
    <row r="65" spans="2:28" x14ac:dyDescent="0.25">
      <c r="B65" s="31" t="s">
        <v>6</v>
      </c>
      <c r="D65" s="32">
        <v>2003</v>
      </c>
      <c r="E65" s="31" t="s">
        <v>6</v>
      </c>
      <c r="F65" s="32" t="s">
        <v>248</v>
      </c>
      <c r="G65" s="31" t="s">
        <v>249</v>
      </c>
      <c r="H65" s="32" t="s">
        <v>97</v>
      </c>
      <c r="I65" s="31" t="s">
        <v>102</v>
      </c>
      <c r="J65" s="32" t="s">
        <v>93</v>
      </c>
      <c r="K65" s="34">
        <v>1</v>
      </c>
      <c r="O65" s="34">
        <v>26</v>
      </c>
      <c r="P65" s="34">
        <v>8</v>
      </c>
      <c r="Q65" s="32" t="s">
        <v>96</v>
      </c>
      <c r="T65" s="32" t="s">
        <v>119</v>
      </c>
      <c r="U65" s="32" t="s">
        <v>128</v>
      </c>
      <c r="V65" s="32">
        <v>80</v>
      </c>
      <c r="W65" s="34" t="s">
        <v>89</v>
      </c>
      <c r="X65" s="32" t="str">
        <f t="shared" si="3"/>
        <v>Printed Sticker 26X8 MM</v>
      </c>
      <c r="Y65" s="35" t="s">
        <v>205</v>
      </c>
      <c r="Z65" s="32" t="str">
        <f t="shared" si="1"/>
        <v>Sticker 26x8 MM Pollar Cutting 80 Glossy Sticker</v>
      </c>
      <c r="AA65" s="32" t="str">
        <f t="shared" si="2"/>
        <v>Printed  Box 24.5X19 CM</v>
      </c>
      <c r="AB65" s="32" t="s">
        <v>754</v>
      </c>
    </row>
    <row r="66" spans="2:28" x14ac:dyDescent="0.25">
      <c r="B66" s="31" t="s">
        <v>6</v>
      </c>
      <c r="D66" s="32">
        <v>2003</v>
      </c>
      <c r="E66" s="31" t="s">
        <v>6</v>
      </c>
      <c r="F66" s="32" t="s">
        <v>248</v>
      </c>
      <c r="G66" s="31" t="s">
        <v>249</v>
      </c>
      <c r="H66" s="32" t="s">
        <v>97</v>
      </c>
      <c r="I66" s="31" t="s">
        <v>102</v>
      </c>
      <c r="J66" s="32" t="s">
        <v>238</v>
      </c>
      <c r="O66" s="34">
        <v>11.7</v>
      </c>
      <c r="P66" s="34">
        <v>8.3000000000000007</v>
      </c>
      <c r="Q66" s="32" t="s">
        <v>95</v>
      </c>
      <c r="T66" s="32" t="s">
        <v>119</v>
      </c>
      <c r="U66" s="32" t="s">
        <v>128</v>
      </c>
      <c r="V66" s="32">
        <v>80</v>
      </c>
      <c r="W66" s="34" t="s">
        <v>89</v>
      </c>
      <c r="X66" s="32" t="str">
        <f t="shared" si="3"/>
        <v>Non Printed Sticker 11.7X8.3 Inch</v>
      </c>
      <c r="Y66" s="35" t="s">
        <v>206</v>
      </c>
      <c r="Z66" s="32" t="str">
        <f t="shared" si="1"/>
        <v>Sticker 11.7x8.3 Inch Pollar Cutting 80 Glossy Sticker</v>
      </c>
      <c r="AA66" s="32" t="str">
        <f t="shared" si="2"/>
        <v>Printed  Insert  12X10 CM</v>
      </c>
      <c r="AB66" s="32" t="s">
        <v>755</v>
      </c>
    </row>
    <row r="67" spans="2:28" x14ac:dyDescent="0.25">
      <c r="B67" s="31" t="s">
        <v>6</v>
      </c>
      <c r="D67" s="32">
        <v>2003</v>
      </c>
      <c r="E67" s="31" t="s">
        <v>6</v>
      </c>
      <c r="F67" s="32" t="s">
        <v>248</v>
      </c>
      <c r="G67" s="31" t="s">
        <v>249</v>
      </c>
      <c r="H67" s="32" t="s">
        <v>97</v>
      </c>
      <c r="I67" s="31" t="s">
        <v>207</v>
      </c>
      <c r="J67" s="32" t="s">
        <v>93</v>
      </c>
      <c r="K67" s="34">
        <v>1</v>
      </c>
      <c r="O67" s="34">
        <v>20</v>
      </c>
      <c r="Q67" s="32" t="s">
        <v>96</v>
      </c>
      <c r="T67" s="32" t="s">
        <v>156</v>
      </c>
      <c r="U67" s="32" t="s">
        <v>128</v>
      </c>
      <c r="V67" s="32">
        <v>80</v>
      </c>
      <c r="W67" s="34" t="s">
        <v>89</v>
      </c>
      <c r="X67" s="32" t="str">
        <f t="shared" si="3"/>
        <v>Printed Size Sticker 20X MM</v>
      </c>
      <c r="Y67" s="35" t="s">
        <v>208</v>
      </c>
      <c r="Z67" s="32" t="str">
        <f t="shared" ref="Z67:Z130" si="4">CONCATENATE(I67," ",O67,"x",P67," ",Q67," ",T67," ",V67," ",U67)</f>
        <v>Size Sticker 20x MM Die Cutting  80 Glossy Sticker</v>
      </c>
      <c r="AA67" s="32" t="str">
        <f t="shared" ref="AA67:AA130" si="5">CONCATENATE(J75," ",R67," ",I75," ",O75,"X",P75," ",Q75)</f>
        <v>Non Printed  Tissue Paper 50X25 CM</v>
      </c>
      <c r="AB67" s="32" t="s">
        <v>756</v>
      </c>
    </row>
    <row r="68" spans="2:28" x14ac:dyDescent="0.25">
      <c r="B68" s="31" t="s">
        <v>6</v>
      </c>
      <c r="D68" s="32">
        <v>2003</v>
      </c>
      <c r="E68" s="31" t="s">
        <v>6</v>
      </c>
      <c r="F68" s="32" t="s">
        <v>248</v>
      </c>
      <c r="G68" s="31" t="s">
        <v>249</v>
      </c>
      <c r="H68" s="32" t="s">
        <v>97</v>
      </c>
      <c r="I68" s="31" t="s">
        <v>147</v>
      </c>
      <c r="J68" s="32" t="s">
        <v>93</v>
      </c>
      <c r="K68" s="34">
        <v>1</v>
      </c>
      <c r="O68" s="34">
        <v>5.7</v>
      </c>
      <c r="P68" s="34">
        <v>3.2</v>
      </c>
      <c r="Q68" s="32" t="s">
        <v>94</v>
      </c>
      <c r="T68" s="32" t="s">
        <v>119</v>
      </c>
      <c r="U68" s="32" t="s">
        <v>128</v>
      </c>
      <c r="V68" s="32">
        <v>80</v>
      </c>
      <c r="W68" s="34" t="s">
        <v>89</v>
      </c>
      <c r="X68" s="32" t="str">
        <f t="shared" si="3"/>
        <v>Printed Barcode Sticker 5.7X3.2 CM</v>
      </c>
      <c r="Y68" s="35" t="s">
        <v>209</v>
      </c>
      <c r="Z68" s="32" t="str">
        <f t="shared" si="4"/>
        <v>Barcode Sticker 5.7x3.2 CM Pollar Cutting 80 Glossy Sticker</v>
      </c>
      <c r="AA68" s="32" t="str">
        <f t="shared" si="5"/>
        <v>Printed  Poly Sticker 4X3 CM</v>
      </c>
      <c r="AB68" s="32" t="s">
        <v>757</v>
      </c>
    </row>
    <row r="69" spans="2:28" x14ac:dyDescent="0.25">
      <c r="B69" s="31" t="s">
        <v>6</v>
      </c>
      <c r="D69" s="32">
        <v>2003</v>
      </c>
      <c r="E69" s="31" t="s">
        <v>6</v>
      </c>
      <c r="F69" s="32" t="s">
        <v>248</v>
      </c>
      <c r="G69" s="31" t="s">
        <v>249</v>
      </c>
      <c r="H69" s="32" t="s">
        <v>97</v>
      </c>
      <c r="I69" s="31" t="s">
        <v>181</v>
      </c>
      <c r="J69" s="32" t="s">
        <v>93</v>
      </c>
      <c r="K69" s="34">
        <v>1</v>
      </c>
      <c r="O69" s="34">
        <v>5</v>
      </c>
      <c r="P69" s="34">
        <v>4</v>
      </c>
      <c r="Q69" s="32" t="s">
        <v>94</v>
      </c>
      <c r="T69" s="32" t="s">
        <v>119</v>
      </c>
      <c r="U69" s="32" t="s">
        <v>128</v>
      </c>
      <c r="V69" s="32">
        <v>80</v>
      </c>
      <c r="W69" s="34" t="s">
        <v>89</v>
      </c>
      <c r="X69" s="32" t="str">
        <f t="shared" si="3"/>
        <v>Printed Set Barcode 5X4 CM</v>
      </c>
      <c r="Y69" s="35" t="s">
        <v>210</v>
      </c>
      <c r="Z69" s="32" t="str">
        <f t="shared" si="4"/>
        <v>Set Barcode 5x4 CM Pollar Cutting 80 Glossy Sticker</v>
      </c>
      <c r="AA69" s="32" t="str">
        <f t="shared" si="5"/>
        <v>Printed  Insert (Front+Back) 30.5X28.5 CM</v>
      </c>
      <c r="AB69" s="32" t="s">
        <v>758</v>
      </c>
    </row>
    <row r="70" spans="2:28" x14ac:dyDescent="0.25">
      <c r="B70" s="31" t="s">
        <v>6</v>
      </c>
      <c r="D70" s="32">
        <v>2003</v>
      </c>
      <c r="E70" s="31" t="s">
        <v>6</v>
      </c>
      <c r="F70" s="32" t="s">
        <v>248</v>
      </c>
      <c r="G70" s="31" t="s">
        <v>249</v>
      </c>
      <c r="H70" s="32" t="s">
        <v>97</v>
      </c>
      <c r="I70" s="39" t="s">
        <v>211</v>
      </c>
      <c r="J70" s="32" t="s">
        <v>93</v>
      </c>
      <c r="K70" s="34">
        <v>3</v>
      </c>
      <c r="O70" s="34">
        <v>28</v>
      </c>
      <c r="P70" s="34">
        <v>20</v>
      </c>
      <c r="Q70" s="32" t="s">
        <v>94</v>
      </c>
      <c r="T70" s="32" t="s">
        <v>119</v>
      </c>
      <c r="U70" s="32" t="s">
        <v>148</v>
      </c>
      <c r="V70" s="32">
        <v>80</v>
      </c>
      <c r="W70" s="34" t="s">
        <v>89</v>
      </c>
      <c r="X70" s="32" t="str">
        <f t="shared" si="3"/>
        <v>Printed Shipping Mark  28X20 CM</v>
      </c>
      <c r="Y70" s="35" t="s">
        <v>212</v>
      </c>
      <c r="Z70" s="32" t="str">
        <f t="shared" si="4"/>
        <v>Shipping Mark  28x20 CM Pollar Cutting 80 Offset Sticker</v>
      </c>
      <c r="AA70" s="32" t="str">
        <f t="shared" si="5"/>
        <v>Printed  Barcode Sticker 3.2X2.7 CM</v>
      </c>
      <c r="AB70" s="32" t="s">
        <v>759</v>
      </c>
    </row>
    <row r="71" spans="2:28" x14ac:dyDescent="0.25">
      <c r="B71" s="31" t="s">
        <v>6</v>
      </c>
      <c r="D71" s="32">
        <v>2003</v>
      </c>
      <c r="E71" s="31" t="s">
        <v>6</v>
      </c>
      <c r="F71" s="32" t="s">
        <v>248</v>
      </c>
      <c r="G71" s="31" t="s">
        <v>249</v>
      </c>
      <c r="H71" s="32" t="s">
        <v>97</v>
      </c>
      <c r="I71" s="31" t="s">
        <v>172</v>
      </c>
      <c r="J71" s="32" t="s">
        <v>93</v>
      </c>
      <c r="K71" s="34">
        <v>6</v>
      </c>
      <c r="O71" s="34">
        <v>74</v>
      </c>
      <c r="P71" s="34">
        <v>13</v>
      </c>
      <c r="Q71" s="32" t="s">
        <v>94</v>
      </c>
      <c r="S71" s="32" t="s">
        <v>213</v>
      </c>
      <c r="T71" s="32" t="s">
        <v>119</v>
      </c>
      <c r="U71" s="32" t="s">
        <v>187</v>
      </c>
      <c r="V71" s="32">
        <v>300</v>
      </c>
      <c r="W71" s="34" t="s">
        <v>89</v>
      </c>
      <c r="X71" s="32" t="str">
        <f t="shared" si="3"/>
        <v>Printed Belly Band 74X13 CM</v>
      </c>
      <c r="Y71" s="35" t="s">
        <v>214</v>
      </c>
      <c r="Z71" s="32" t="str">
        <f t="shared" si="4"/>
        <v>Belly Band 74x13 CM Pollar Cutting 300 Duplex Board</v>
      </c>
      <c r="AA71" s="32" t="str">
        <f t="shared" si="5"/>
        <v>Non Printed  Sticker Paper (A4 Size) 29.7X21 CM</v>
      </c>
      <c r="AB71" s="32" t="s">
        <v>760</v>
      </c>
    </row>
    <row r="72" spans="2:28" x14ac:dyDescent="0.25">
      <c r="B72" s="31" t="s">
        <v>6</v>
      </c>
      <c r="D72" s="32">
        <v>2003</v>
      </c>
      <c r="E72" s="31" t="s">
        <v>6</v>
      </c>
      <c r="F72" s="32" t="s">
        <v>248</v>
      </c>
      <c r="G72" s="31" t="s">
        <v>249</v>
      </c>
      <c r="H72" s="32" t="s">
        <v>97</v>
      </c>
      <c r="I72" s="31" t="s">
        <v>648</v>
      </c>
      <c r="J72" s="32" t="s">
        <v>93</v>
      </c>
      <c r="K72" s="34">
        <v>1</v>
      </c>
      <c r="O72" s="34">
        <v>10</v>
      </c>
      <c r="P72" s="34">
        <v>7.5</v>
      </c>
      <c r="Q72" s="32" t="s">
        <v>94</v>
      </c>
      <c r="T72" s="32" t="s">
        <v>119</v>
      </c>
      <c r="U72" s="32" t="s">
        <v>128</v>
      </c>
      <c r="V72" s="32">
        <v>80</v>
      </c>
      <c r="W72" s="34" t="s">
        <v>89</v>
      </c>
      <c r="X72" s="32" t="str">
        <f t="shared" si="3"/>
        <v>Printed Sticker  10X7.5 CM</v>
      </c>
      <c r="Y72" s="35" t="s">
        <v>216</v>
      </c>
      <c r="Z72" s="32" t="str">
        <f t="shared" si="4"/>
        <v>Sticker  10x7.5 CM Pollar Cutting 80 Glossy Sticker</v>
      </c>
      <c r="AA72" s="32" t="str">
        <f t="shared" si="5"/>
        <v>Printed  Invercote Paper Band Roll  20X11 Inch</v>
      </c>
      <c r="AB72" s="32" t="s">
        <v>761</v>
      </c>
    </row>
    <row r="73" spans="2:28" x14ac:dyDescent="0.25">
      <c r="B73" s="31" t="s">
        <v>6</v>
      </c>
      <c r="D73" s="32">
        <v>2003</v>
      </c>
      <c r="E73" s="31" t="s">
        <v>6</v>
      </c>
      <c r="F73" s="32" t="s">
        <v>248</v>
      </c>
      <c r="G73" s="31" t="s">
        <v>249</v>
      </c>
      <c r="H73" s="32" t="s">
        <v>97</v>
      </c>
      <c r="I73" s="31" t="s">
        <v>217</v>
      </c>
      <c r="J73" s="32" t="s">
        <v>93</v>
      </c>
      <c r="K73" s="34">
        <v>4</v>
      </c>
      <c r="O73" s="34">
        <v>24.5</v>
      </c>
      <c r="P73" s="34">
        <v>19</v>
      </c>
      <c r="Q73" s="32" t="s">
        <v>94</v>
      </c>
      <c r="S73" s="32" t="s">
        <v>166</v>
      </c>
      <c r="T73" s="32" t="s">
        <v>156</v>
      </c>
      <c r="U73" s="32" t="s">
        <v>218</v>
      </c>
      <c r="V73" s="32" t="s">
        <v>219</v>
      </c>
      <c r="W73" s="34" t="s">
        <v>89</v>
      </c>
      <c r="X73" s="32" t="str">
        <f t="shared" si="3"/>
        <v>Printed Box 24.5X19 CM</v>
      </c>
      <c r="Y73" s="35" t="s">
        <v>220</v>
      </c>
      <c r="Z73" s="32" t="str">
        <f t="shared" si="4"/>
        <v>Box 24.5x19 CM Die Cutting  300+190 Swedish Board+Liner</v>
      </c>
      <c r="AA73" s="32" t="str">
        <f t="shared" si="5"/>
        <v>Printed  Invercote Paper Band Roll  20.75X11 Inch</v>
      </c>
      <c r="AB73" s="32" t="s">
        <v>762</v>
      </c>
    </row>
    <row r="74" spans="2:28" x14ac:dyDescent="0.25">
      <c r="B74" s="31" t="s">
        <v>6</v>
      </c>
      <c r="D74" s="32">
        <v>2003</v>
      </c>
      <c r="E74" s="31" t="s">
        <v>6</v>
      </c>
      <c r="F74" s="32" t="s">
        <v>248</v>
      </c>
      <c r="G74" s="31" t="s">
        <v>249</v>
      </c>
      <c r="H74" s="32" t="s">
        <v>97</v>
      </c>
      <c r="I74" s="31" t="s">
        <v>112</v>
      </c>
      <c r="J74" s="32" t="s">
        <v>93</v>
      </c>
      <c r="K74" s="34">
        <v>1</v>
      </c>
      <c r="O74" s="34">
        <v>12</v>
      </c>
      <c r="P74" s="34">
        <v>10</v>
      </c>
      <c r="Q74" s="32" t="s">
        <v>94</v>
      </c>
      <c r="T74" s="32" t="s">
        <v>156</v>
      </c>
      <c r="U74" s="32" t="s">
        <v>110</v>
      </c>
      <c r="V74" s="32">
        <v>400</v>
      </c>
      <c r="W74" s="34" t="s">
        <v>89</v>
      </c>
      <c r="X74" s="32" t="str">
        <f t="shared" si="3"/>
        <v>Printed Insert  12X10 CM</v>
      </c>
      <c r="Y74" s="36" t="s">
        <v>221</v>
      </c>
      <c r="Z74" s="32" t="str">
        <f t="shared" si="4"/>
        <v>Insert  12x10 CM Die Cutting  400 Swedish Board</v>
      </c>
      <c r="AA74" s="32" t="str">
        <f t="shared" si="5"/>
        <v>Printed  Invercote Paper Band Roll  21.75X11 Inch</v>
      </c>
      <c r="AB74" s="32" t="s">
        <v>763</v>
      </c>
    </row>
    <row r="75" spans="2:28" x14ac:dyDescent="0.25">
      <c r="B75" s="31" t="s">
        <v>6</v>
      </c>
      <c r="D75" s="32">
        <v>2003</v>
      </c>
      <c r="E75" s="31" t="s">
        <v>6</v>
      </c>
      <c r="F75" s="32" t="s">
        <v>248</v>
      </c>
      <c r="G75" s="31" t="s">
        <v>249</v>
      </c>
      <c r="H75" s="32" t="s">
        <v>97</v>
      </c>
      <c r="I75" s="31" t="s">
        <v>346</v>
      </c>
      <c r="J75" s="32" t="s">
        <v>238</v>
      </c>
      <c r="O75" s="34">
        <v>50</v>
      </c>
      <c r="P75" s="34">
        <v>25</v>
      </c>
      <c r="Q75" s="32" t="s">
        <v>94</v>
      </c>
      <c r="T75" s="32" t="s">
        <v>119</v>
      </c>
      <c r="U75" s="32" t="s">
        <v>110</v>
      </c>
      <c r="V75" s="32">
        <v>400</v>
      </c>
      <c r="W75" s="34" t="s">
        <v>89</v>
      </c>
      <c r="X75" s="32" t="str">
        <f t="shared" si="3"/>
        <v>Non Printed Tissue Paper 50X25 CM</v>
      </c>
      <c r="Y75" s="35" t="s">
        <v>222</v>
      </c>
      <c r="Z75" s="32" t="str">
        <f t="shared" si="4"/>
        <v>Tissue Paper 50x25 CM Pollar Cutting 400 Swedish Board</v>
      </c>
      <c r="AA75" s="32" t="str">
        <f t="shared" si="5"/>
        <v>Printed  Invercote Paper Band Roll 15.5X8 Inch</v>
      </c>
      <c r="AB75" s="32" t="s">
        <v>764</v>
      </c>
    </row>
    <row r="76" spans="2:28" x14ac:dyDescent="0.25">
      <c r="B76" s="31" t="s">
        <v>6</v>
      </c>
      <c r="D76" s="32">
        <v>2003</v>
      </c>
      <c r="E76" s="31" t="s">
        <v>6</v>
      </c>
      <c r="F76" s="32" t="s">
        <v>248</v>
      </c>
      <c r="G76" s="31" t="s">
        <v>249</v>
      </c>
      <c r="H76" s="32" t="s">
        <v>97</v>
      </c>
      <c r="I76" s="31" t="s">
        <v>33</v>
      </c>
      <c r="J76" s="32" t="s">
        <v>93</v>
      </c>
      <c r="K76" s="34">
        <v>1</v>
      </c>
      <c r="O76" s="34">
        <v>4</v>
      </c>
      <c r="P76" s="34">
        <v>3</v>
      </c>
      <c r="Q76" s="32" t="s">
        <v>94</v>
      </c>
      <c r="T76" s="32" t="s">
        <v>119</v>
      </c>
      <c r="U76" s="32" t="s">
        <v>128</v>
      </c>
      <c r="V76" s="32">
        <v>80</v>
      </c>
      <c r="W76" s="34" t="s">
        <v>89</v>
      </c>
      <c r="X76" s="32" t="str">
        <f t="shared" si="3"/>
        <v>Printed Poly Sticker 4X3 CM</v>
      </c>
      <c r="Y76" s="35" t="s">
        <v>223</v>
      </c>
      <c r="Z76" s="32" t="str">
        <f t="shared" si="4"/>
        <v>Poly Sticker 4x3 CM Pollar Cutting 80 Glossy Sticker</v>
      </c>
      <c r="AA76" s="32" t="str">
        <f t="shared" si="5"/>
        <v>Printed  Invercote Paper Band Roll  19.5X11 Inch</v>
      </c>
      <c r="AB76" s="32" t="s">
        <v>765</v>
      </c>
    </row>
    <row r="77" spans="2:28" x14ac:dyDescent="0.25">
      <c r="B77" s="31" t="s">
        <v>6</v>
      </c>
      <c r="D77" s="32">
        <v>2003</v>
      </c>
      <c r="E77" s="31" t="s">
        <v>6</v>
      </c>
      <c r="F77" s="32" t="s">
        <v>248</v>
      </c>
      <c r="G77" s="31" t="s">
        <v>249</v>
      </c>
      <c r="H77" s="32" t="s">
        <v>140</v>
      </c>
      <c r="I77" s="31" t="s">
        <v>650</v>
      </c>
      <c r="J77" s="32" t="s">
        <v>93</v>
      </c>
      <c r="K77" s="34" t="s">
        <v>226</v>
      </c>
      <c r="O77" s="34">
        <v>30.5</v>
      </c>
      <c r="P77" s="34">
        <v>28.5</v>
      </c>
      <c r="Q77" s="32" t="s">
        <v>94</v>
      </c>
      <c r="T77" s="32" t="s">
        <v>156</v>
      </c>
      <c r="U77" s="32" t="s">
        <v>141</v>
      </c>
      <c r="V77" s="32">
        <v>300</v>
      </c>
      <c r="W77" s="34" t="s">
        <v>89</v>
      </c>
      <c r="X77" s="32" t="str">
        <f t="shared" si="3"/>
        <v>Printed Insert (Front+Back) 30.5X28.5 CM</v>
      </c>
      <c r="Y77" s="36" t="s">
        <v>227</v>
      </c>
      <c r="Z77" s="32" t="str">
        <f t="shared" si="4"/>
        <v>Insert (Front+Back) 30.5x28.5 CM Die Cutting  300 Solid Card</v>
      </c>
      <c r="AA77" s="32" t="str">
        <f t="shared" si="5"/>
        <v>Printed  Invercote Paper Band Roll  22X11 Inch</v>
      </c>
      <c r="AB77" s="32" t="s">
        <v>766</v>
      </c>
    </row>
    <row r="78" spans="2:28" x14ac:dyDescent="0.25">
      <c r="B78" s="31" t="s">
        <v>6</v>
      </c>
      <c r="D78" s="32">
        <v>2003</v>
      </c>
      <c r="E78" s="31" t="s">
        <v>6</v>
      </c>
      <c r="F78" s="32" t="s">
        <v>248</v>
      </c>
      <c r="G78" s="31" t="s">
        <v>249</v>
      </c>
      <c r="H78" s="32" t="s">
        <v>97</v>
      </c>
      <c r="I78" s="31" t="s">
        <v>147</v>
      </c>
      <c r="J78" s="32" t="s">
        <v>93</v>
      </c>
      <c r="K78" s="34">
        <v>1</v>
      </c>
      <c r="O78" s="34">
        <v>3.2</v>
      </c>
      <c r="P78" s="34">
        <v>2.7</v>
      </c>
      <c r="Q78" s="32" t="s">
        <v>94</v>
      </c>
      <c r="T78" s="32" t="s">
        <v>119</v>
      </c>
      <c r="U78" s="32" t="s">
        <v>128</v>
      </c>
      <c r="V78" s="32">
        <v>80</v>
      </c>
      <c r="W78" s="34" t="s">
        <v>89</v>
      </c>
      <c r="X78" s="32" t="str">
        <f t="shared" si="3"/>
        <v>Printed Barcode Sticker 3.2X2.7 CM</v>
      </c>
      <c r="Y78" s="35" t="s">
        <v>230</v>
      </c>
      <c r="Z78" s="32" t="str">
        <f t="shared" si="4"/>
        <v>Barcode Sticker 3.2x2.7 CM Pollar Cutting 80 Glossy Sticker</v>
      </c>
      <c r="AA78" s="32" t="str">
        <f t="shared" si="5"/>
        <v>Printed  Invercote Paper Band Roll  16X9 Inch</v>
      </c>
      <c r="AB78" s="32" t="s">
        <v>767</v>
      </c>
    </row>
    <row r="79" spans="2:28" x14ac:dyDescent="0.25">
      <c r="B79" s="31" t="s">
        <v>6</v>
      </c>
      <c r="D79" s="32">
        <v>2003</v>
      </c>
      <c r="E79" s="31" t="s">
        <v>6</v>
      </c>
      <c r="F79" s="32" t="s">
        <v>248</v>
      </c>
      <c r="G79" s="31" t="s">
        <v>249</v>
      </c>
      <c r="H79" s="32" t="s">
        <v>97</v>
      </c>
      <c r="I79" s="31" t="s">
        <v>234</v>
      </c>
      <c r="J79" s="32" t="s">
        <v>238</v>
      </c>
      <c r="O79" s="34">
        <v>29.7</v>
      </c>
      <c r="P79" s="34">
        <v>21</v>
      </c>
      <c r="Q79" s="32" t="s">
        <v>94</v>
      </c>
      <c r="T79" s="32" t="s">
        <v>119</v>
      </c>
      <c r="U79" s="32" t="s">
        <v>128</v>
      </c>
      <c r="V79" s="32">
        <v>80</v>
      </c>
      <c r="W79" s="34" t="s">
        <v>89</v>
      </c>
      <c r="X79" s="32" t="str">
        <f t="shared" ref="X79:X128" si="6">CONCATENATE(J79," ",I79," ",O79,"X",P79," ",Q79)</f>
        <v>Non Printed Sticker Paper (A4 Size) 29.7X21 CM</v>
      </c>
      <c r="Y79" s="35" t="s">
        <v>235</v>
      </c>
      <c r="Z79" s="32" t="str">
        <f t="shared" si="4"/>
        <v>Sticker Paper (A4 Size) 29.7x21 CM Pollar Cutting 80 Glossy Sticker</v>
      </c>
      <c r="AA79" s="32" t="str">
        <f t="shared" si="5"/>
        <v>Printed  Invercote Paper Band Roll  15.5X11 Inch</v>
      </c>
      <c r="AB79" s="32" t="s">
        <v>768</v>
      </c>
    </row>
    <row r="80" spans="2:28" x14ac:dyDescent="0.25">
      <c r="B80" s="31" t="s">
        <v>6</v>
      </c>
      <c r="D80" s="32">
        <v>2003</v>
      </c>
      <c r="E80" s="31" t="s">
        <v>6</v>
      </c>
      <c r="F80" s="32" t="s">
        <v>248</v>
      </c>
      <c r="G80" s="31" t="s">
        <v>249</v>
      </c>
      <c r="H80" s="34" t="s">
        <v>97</v>
      </c>
      <c r="I80" s="35" t="s">
        <v>104</v>
      </c>
      <c r="J80" s="32" t="s">
        <v>93</v>
      </c>
      <c r="K80" s="34">
        <v>4</v>
      </c>
      <c r="O80" s="34">
        <v>20</v>
      </c>
      <c r="P80" s="34">
        <v>11</v>
      </c>
      <c r="Q80" s="32" t="s">
        <v>95</v>
      </c>
      <c r="R80" s="34"/>
      <c r="S80" s="32" t="s">
        <v>664</v>
      </c>
      <c r="T80" s="32" t="s">
        <v>321</v>
      </c>
      <c r="U80" s="32" t="s">
        <v>239</v>
      </c>
      <c r="V80" s="32">
        <v>220</v>
      </c>
      <c r="W80" s="32" t="s">
        <v>89</v>
      </c>
      <c r="X80" s="32" t="str">
        <f t="shared" si="6"/>
        <v>Printed Invercote Paper Band Roll  20X11 Inch</v>
      </c>
      <c r="Y80" s="31" t="s">
        <v>250</v>
      </c>
      <c r="Z80" s="32" t="str">
        <f t="shared" si="4"/>
        <v>Invercote Paper Band Roll  20x11 Inch Die &amp; Pollar Cutting 220 Solid Bleach Board Width 560 MM</v>
      </c>
      <c r="AA80" s="32" t="str">
        <f t="shared" si="5"/>
        <v>Printed  Invercote Paper Band Roll  37.5X12 CM</v>
      </c>
      <c r="AB80" s="32" t="s">
        <v>769</v>
      </c>
    </row>
    <row r="81" spans="2:28" x14ac:dyDescent="0.25">
      <c r="B81" s="31" t="s">
        <v>6</v>
      </c>
      <c r="D81" s="32">
        <v>2003</v>
      </c>
      <c r="E81" s="31" t="s">
        <v>6</v>
      </c>
      <c r="F81" s="32" t="s">
        <v>248</v>
      </c>
      <c r="G81" s="31" t="s">
        <v>249</v>
      </c>
      <c r="H81" s="34" t="s">
        <v>97</v>
      </c>
      <c r="I81" s="35" t="s">
        <v>104</v>
      </c>
      <c r="J81" s="32" t="s">
        <v>93</v>
      </c>
      <c r="K81" s="34">
        <v>4</v>
      </c>
      <c r="O81" s="32">
        <v>20.75</v>
      </c>
      <c r="P81" s="32">
        <v>11</v>
      </c>
      <c r="Q81" s="32" t="s">
        <v>95</v>
      </c>
      <c r="R81" s="34"/>
      <c r="S81" s="32" t="s">
        <v>664</v>
      </c>
      <c r="T81" s="32" t="s">
        <v>321</v>
      </c>
      <c r="U81" s="32" t="s">
        <v>239</v>
      </c>
      <c r="V81" s="32">
        <v>220</v>
      </c>
      <c r="W81" s="32" t="s">
        <v>89</v>
      </c>
      <c r="X81" s="32" t="str">
        <f t="shared" si="6"/>
        <v>Printed Invercote Paper Band Roll  20.75X11 Inch</v>
      </c>
      <c r="Y81" s="31" t="s">
        <v>251</v>
      </c>
      <c r="Z81" s="32" t="str">
        <f t="shared" si="4"/>
        <v>Invercote Paper Band Roll  20.75x11 Inch Die &amp; Pollar Cutting 220 Solid Bleach Board Width 560 MM</v>
      </c>
      <c r="AA81" s="32" t="str">
        <f t="shared" si="5"/>
        <v>Printed  Invercote Paper Band Roll  17X9.25 CM</v>
      </c>
      <c r="AB81" s="32" t="s">
        <v>770</v>
      </c>
    </row>
    <row r="82" spans="2:28" x14ac:dyDescent="0.25">
      <c r="B82" s="31" t="s">
        <v>6</v>
      </c>
      <c r="D82" s="32">
        <v>2003</v>
      </c>
      <c r="E82" s="31" t="s">
        <v>6</v>
      </c>
      <c r="F82" s="32" t="s">
        <v>248</v>
      </c>
      <c r="G82" s="31" t="s">
        <v>249</v>
      </c>
      <c r="H82" s="34" t="s">
        <v>97</v>
      </c>
      <c r="I82" s="35" t="s">
        <v>104</v>
      </c>
      <c r="J82" s="32" t="s">
        <v>93</v>
      </c>
      <c r="K82" s="34">
        <v>4</v>
      </c>
      <c r="O82" s="32">
        <v>21.75</v>
      </c>
      <c r="P82" s="32">
        <v>11</v>
      </c>
      <c r="Q82" s="32" t="s">
        <v>95</v>
      </c>
      <c r="R82" s="34"/>
      <c r="S82" s="32" t="s">
        <v>664</v>
      </c>
      <c r="T82" s="32" t="s">
        <v>321</v>
      </c>
      <c r="U82" s="32" t="s">
        <v>239</v>
      </c>
      <c r="V82" s="32">
        <v>220</v>
      </c>
      <c r="W82" s="32" t="s">
        <v>89</v>
      </c>
      <c r="X82" s="32" t="str">
        <f t="shared" si="6"/>
        <v>Printed Invercote Paper Band Roll  21.75X11 Inch</v>
      </c>
      <c r="Y82" s="31" t="s">
        <v>252</v>
      </c>
      <c r="Z82" s="32" t="str">
        <f t="shared" si="4"/>
        <v>Invercote Paper Band Roll  21.75x11 Inch Die &amp; Pollar Cutting 220 Solid Bleach Board Width 560 MM</v>
      </c>
      <c r="AA82" s="32" t="str">
        <f t="shared" si="5"/>
        <v>Printed  File 145.1X29.7 CM</v>
      </c>
      <c r="AB82" s="32" t="s">
        <v>771</v>
      </c>
    </row>
    <row r="83" spans="2:28" x14ac:dyDescent="0.25">
      <c r="B83" s="31" t="s">
        <v>6</v>
      </c>
      <c r="D83" s="32">
        <v>2003</v>
      </c>
      <c r="E83" s="31" t="s">
        <v>6</v>
      </c>
      <c r="F83" s="32" t="s">
        <v>248</v>
      </c>
      <c r="G83" s="31" t="s">
        <v>249</v>
      </c>
      <c r="H83" s="34" t="s">
        <v>97</v>
      </c>
      <c r="I83" s="35" t="s">
        <v>103</v>
      </c>
      <c r="J83" s="32" t="s">
        <v>93</v>
      </c>
      <c r="K83" s="34">
        <v>4</v>
      </c>
      <c r="O83" s="32">
        <v>15.5</v>
      </c>
      <c r="P83" s="32">
        <v>8</v>
      </c>
      <c r="Q83" s="32" t="s">
        <v>95</v>
      </c>
      <c r="R83" s="34"/>
      <c r="S83" s="32" t="s">
        <v>664</v>
      </c>
      <c r="T83" s="32" t="s">
        <v>321</v>
      </c>
      <c r="U83" s="32" t="s">
        <v>239</v>
      </c>
      <c r="V83" s="32">
        <v>220</v>
      </c>
      <c r="W83" s="32" t="s">
        <v>89</v>
      </c>
      <c r="X83" s="32" t="str">
        <f t="shared" si="6"/>
        <v>Printed Invercote Paper Band Roll 15.5X8 Inch</v>
      </c>
      <c r="Y83" s="31" t="s">
        <v>253</v>
      </c>
      <c r="Z83" s="32" t="str">
        <f t="shared" si="4"/>
        <v>Invercote Paper Band Roll 15.5x8 Inch Die &amp; Pollar Cutting 220 Solid Bleach Board Width 560 MM</v>
      </c>
      <c r="AA83" s="32" t="str">
        <f t="shared" si="5"/>
        <v>Printed  File 85.8X39.7 CM</v>
      </c>
      <c r="AB83" s="32" t="s">
        <v>772</v>
      </c>
    </row>
    <row r="84" spans="2:28" x14ac:dyDescent="0.25">
      <c r="B84" s="31" t="s">
        <v>6</v>
      </c>
      <c r="D84" s="32">
        <v>2003</v>
      </c>
      <c r="E84" s="31" t="s">
        <v>6</v>
      </c>
      <c r="F84" s="32" t="s">
        <v>248</v>
      </c>
      <c r="G84" s="31" t="s">
        <v>249</v>
      </c>
      <c r="H84" s="32" t="s">
        <v>97</v>
      </c>
      <c r="I84" s="35" t="s">
        <v>104</v>
      </c>
      <c r="J84" s="32" t="s">
        <v>93</v>
      </c>
      <c r="K84" s="34">
        <v>4</v>
      </c>
      <c r="O84" s="32">
        <v>19.5</v>
      </c>
      <c r="P84" s="32">
        <v>11</v>
      </c>
      <c r="Q84" s="32" t="s">
        <v>95</v>
      </c>
      <c r="S84" s="32" t="s">
        <v>664</v>
      </c>
      <c r="T84" s="32" t="s">
        <v>321</v>
      </c>
      <c r="U84" s="32" t="s">
        <v>239</v>
      </c>
      <c r="V84" s="32">
        <v>220</v>
      </c>
      <c r="W84" s="32" t="s">
        <v>89</v>
      </c>
      <c r="X84" s="32" t="str">
        <f t="shared" si="6"/>
        <v>Printed Invercote Paper Band Roll  19.5X11 Inch</v>
      </c>
      <c r="Y84" s="31" t="s">
        <v>254</v>
      </c>
      <c r="Z84" s="32" t="str">
        <f t="shared" si="4"/>
        <v>Invercote Paper Band Roll  19.5x11 Inch Die &amp; Pollar Cutting 220 Solid Bleach Board Width 560 MM</v>
      </c>
      <c r="AA84" s="32" t="str">
        <f t="shared" si="5"/>
        <v>Printed  File 58.5X40 CM</v>
      </c>
      <c r="AB84" s="32" t="s">
        <v>773</v>
      </c>
    </row>
    <row r="85" spans="2:28" x14ac:dyDescent="0.25">
      <c r="B85" s="31" t="s">
        <v>6</v>
      </c>
      <c r="D85" s="32">
        <v>2003</v>
      </c>
      <c r="E85" s="31" t="s">
        <v>6</v>
      </c>
      <c r="F85" s="32" t="s">
        <v>248</v>
      </c>
      <c r="G85" s="31" t="s">
        <v>249</v>
      </c>
      <c r="H85" s="32" t="s">
        <v>97</v>
      </c>
      <c r="I85" s="35" t="s">
        <v>104</v>
      </c>
      <c r="J85" s="32" t="s">
        <v>93</v>
      </c>
      <c r="K85" s="34">
        <v>4</v>
      </c>
      <c r="O85" s="34">
        <v>22</v>
      </c>
      <c r="P85" s="34">
        <v>11</v>
      </c>
      <c r="Q85" s="32" t="s">
        <v>95</v>
      </c>
      <c r="S85" s="32" t="s">
        <v>664</v>
      </c>
      <c r="T85" s="32" t="s">
        <v>321</v>
      </c>
      <c r="U85" s="32" t="s">
        <v>239</v>
      </c>
      <c r="V85" s="32">
        <v>220</v>
      </c>
      <c r="W85" s="32" t="s">
        <v>89</v>
      </c>
      <c r="X85" s="32" t="str">
        <f t="shared" si="6"/>
        <v>Printed Invercote Paper Band Roll  22X11 Inch</v>
      </c>
      <c r="Y85" s="31" t="s">
        <v>255</v>
      </c>
      <c r="Z85" s="32" t="str">
        <f t="shared" si="4"/>
        <v>Invercote Paper Band Roll  22x11 Inch Die &amp; Pollar Cutting 220 Solid Bleach Board Width 560 MM</v>
      </c>
      <c r="AA85" s="32" t="str">
        <f t="shared" si="5"/>
        <v>Printed  File 87.75X40 CM</v>
      </c>
      <c r="AB85" s="32" t="s">
        <v>774</v>
      </c>
    </row>
    <row r="86" spans="2:28" x14ac:dyDescent="0.25">
      <c r="B86" s="31" t="s">
        <v>6</v>
      </c>
      <c r="D86" s="32">
        <v>2003</v>
      </c>
      <c r="E86" s="31" t="s">
        <v>6</v>
      </c>
      <c r="F86" s="32" t="s">
        <v>248</v>
      </c>
      <c r="G86" s="31" t="s">
        <v>249</v>
      </c>
      <c r="H86" s="32" t="s">
        <v>97</v>
      </c>
      <c r="I86" s="35" t="s">
        <v>104</v>
      </c>
      <c r="J86" s="32" t="s">
        <v>93</v>
      </c>
      <c r="K86" s="34">
        <v>4</v>
      </c>
      <c r="O86" s="34">
        <v>16</v>
      </c>
      <c r="P86" s="34">
        <v>9</v>
      </c>
      <c r="Q86" s="32" t="s">
        <v>95</v>
      </c>
      <c r="S86" s="32" t="s">
        <v>664</v>
      </c>
      <c r="T86" s="32" t="s">
        <v>321</v>
      </c>
      <c r="U86" s="32" t="s">
        <v>239</v>
      </c>
      <c r="V86" s="32">
        <v>220</v>
      </c>
      <c r="W86" s="32" t="s">
        <v>89</v>
      </c>
      <c r="X86" s="32" t="str">
        <f t="shared" si="6"/>
        <v>Printed Invercote Paper Band Roll  16X9 Inch</v>
      </c>
      <c r="Y86" s="31" t="s">
        <v>256</v>
      </c>
      <c r="Z86" s="32" t="str">
        <f t="shared" si="4"/>
        <v>Invercote Paper Band Roll  16x9 Inch Die &amp; Pollar Cutting 220 Solid Bleach Board Width 560 MM</v>
      </c>
      <c r="AA86" s="32" t="str">
        <f t="shared" si="5"/>
        <v>Printed  Sticker 4X2 Inch</v>
      </c>
      <c r="AB86" s="32" t="s">
        <v>775</v>
      </c>
    </row>
    <row r="87" spans="2:28" x14ac:dyDescent="0.25">
      <c r="B87" s="31" t="s">
        <v>6</v>
      </c>
      <c r="D87" s="32">
        <v>2003</v>
      </c>
      <c r="E87" s="31" t="s">
        <v>6</v>
      </c>
      <c r="F87" s="32" t="s">
        <v>248</v>
      </c>
      <c r="G87" s="31" t="s">
        <v>249</v>
      </c>
      <c r="H87" s="32" t="s">
        <v>97</v>
      </c>
      <c r="I87" s="35" t="s">
        <v>104</v>
      </c>
      <c r="J87" s="32" t="s">
        <v>93</v>
      </c>
      <c r="K87" s="34">
        <v>4</v>
      </c>
      <c r="O87" s="34">
        <v>15.5</v>
      </c>
      <c r="P87" s="34">
        <v>11</v>
      </c>
      <c r="Q87" s="32" t="s">
        <v>95</v>
      </c>
      <c r="S87" s="32" t="s">
        <v>664</v>
      </c>
      <c r="T87" s="32" t="s">
        <v>321</v>
      </c>
      <c r="U87" s="32" t="s">
        <v>239</v>
      </c>
      <c r="V87" s="32">
        <v>220</v>
      </c>
      <c r="W87" s="32" t="s">
        <v>89</v>
      </c>
      <c r="X87" s="32" t="str">
        <f t="shared" si="6"/>
        <v>Printed Invercote Paper Band Roll  15.5X11 Inch</v>
      </c>
      <c r="Y87" s="31" t="s">
        <v>257</v>
      </c>
      <c r="Z87" s="32" t="str">
        <f t="shared" si="4"/>
        <v>Invercote Paper Band Roll  15.5x11 Inch Die &amp; Pollar Cutting 220 Solid Bleach Board Width 560 MM</v>
      </c>
      <c r="AA87" s="32" t="str">
        <f t="shared" si="5"/>
        <v>Printed  Sticker  2X2 Inch</v>
      </c>
      <c r="AB87" s="32" t="s">
        <v>776</v>
      </c>
    </row>
    <row r="88" spans="2:28" x14ac:dyDescent="0.25">
      <c r="B88" s="31" t="s">
        <v>6</v>
      </c>
      <c r="D88" s="32">
        <v>2003</v>
      </c>
      <c r="E88" s="31" t="s">
        <v>6</v>
      </c>
      <c r="F88" s="32" t="s">
        <v>248</v>
      </c>
      <c r="G88" s="31" t="s">
        <v>249</v>
      </c>
      <c r="H88" s="32" t="s">
        <v>97</v>
      </c>
      <c r="I88" s="35" t="s">
        <v>104</v>
      </c>
      <c r="J88" s="32" t="s">
        <v>93</v>
      </c>
      <c r="K88" s="34">
        <v>4</v>
      </c>
      <c r="O88" s="34">
        <v>37.5</v>
      </c>
      <c r="P88" s="34">
        <v>12</v>
      </c>
      <c r="Q88" s="32" t="s">
        <v>94</v>
      </c>
      <c r="S88" s="32" t="s">
        <v>664</v>
      </c>
      <c r="T88" s="32" t="s">
        <v>321</v>
      </c>
      <c r="U88" s="32" t="s">
        <v>239</v>
      </c>
      <c r="V88" s="32">
        <v>220</v>
      </c>
      <c r="W88" s="32" t="s">
        <v>89</v>
      </c>
      <c r="X88" s="32" t="str">
        <f t="shared" si="6"/>
        <v>Printed Invercote Paper Band Roll  37.5X12 CM</v>
      </c>
      <c r="Y88" s="31" t="s">
        <v>258</v>
      </c>
      <c r="Z88" s="32" t="str">
        <f t="shared" si="4"/>
        <v>Invercote Paper Band Roll  37.5x12 CM Die &amp; Pollar Cutting 220 Solid Bleach Board Width 560 MM</v>
      </c>
      <c r="AA88" s="32" t="str">
        <f t="shared" si="5"/>
        <v>Printed  Sticker 6X4 Inch</v>
      </c>
      <c r="AB88" s="32" t="s">
        <v>777</v>
      </c>
    </row>
    <row r="89" spans="2:28" x14ac:dyDescent="0.25">
      <c r="B89" s="31" t="s">
        <v>6</v>
      </c>
      <c r="D89" s="32">
        <v>2003</v>
      </c>
      <c r="E89" s="31" t="s">
        <v>6</v>
      </c>
      <c r="F89" s="32" t="s">
        <v>248</v>
      </c>
      <c r="G89" s="31" t="s">
        <v>249</v>
      </c>
      <c r="H89" s="32" t="s">
        <v>97</v>
      </c>
      <c r="I89" s="35" t="s">
        <v>104</v>
      </c>
      <c r="J89" s="32" t="s">
        <v>93</v>
      </c>
      <c r="K89" s="34">
        <v>4</v>
      </c>
      <c r="O89" s="34">
        <v>17</v>
      </c>
      <c r="P89" s="34">
        <v>9.25</v>
      </c>
      <c r="Q89" s="32" t="s">
        <v>94</v>
      </c>
      <c r="S89" s="32" t="s">
        <v>664</v>
      </c>
      <c r="T89" s="32" t="s">
        <v>321</v>
      </c>
      <c r="U89" s="32" t="s">
        <v>239</v>
      </c>
      <c r="V89" s="32">
        <v>220</v>
      </c>
      <c r="W89" s="32" t="s">
        <v>89</v>
      </c>
      <c r="X89" s="32" t="str">
        <f t="shared" si="6"/>
        <v>Printed Invercote Paper Band Roll  17X9.25 CM</v>
      </c>
      <c r="Y89" s="31" t="s">
        <v>259</v>
      </c>
      <c r="Z89" s="32" t="str">
        <f t="shared" si="4"/>
        <v>Invercote Paper Band Roll  17x9.25 CM Die &amp; Pollar Cutting 220 Solid Bleach Board Width 560 MM</v>
      </c>
      <c r="AA89" s="32" t="str">
        <f t="shared" si="5"/>
        <v>Printed  Carton Sticker  3X6 Inch</v>
      </c>
      <c r="AB89" s="32" t="s">
        <v>778</v>
      </c>
    </row>
    <row r="90" spans="2:28" x14ac:dyDescent="0.25">
      <c r="B90" s="31" t="s">
        <v>6</v>
      </c>
      <c r="D90" s="32">
        <v>2003</v>
      </c>
      <c r="E90" s="31" t="s">
        <v>6</v>
      </c>
      <c r="F90" s="32" t="s">
        <v>248</v>
      </c>
      <c r="G90" s="31" t="s">
        <v>249</v>
      </c>
      <c r="H90" s="33" t="s">
        <v>97</v>
      </c>
      <c r="I90" s="35" t="s">
        <v>657</v>
      </c>
      <c r="J90" s="32" t="s">
        <v>93</v>
      </c>
      <c r="K90" s="34">
        <v>2</v>
      </c>
      <c r="O90" s="34">
        <v>145.1</v>
      </c>
      <c r="P90" s="34">
        <v>29.7</v>
      </c>
      <c r="Q90" s="32" t="s">
        <v>94</v>
      </c>
      <c r="S90" s="34"/>
      <c r="T90" s="32" t="s">
        <v>156</v>
      </c>
      <c r="U90" s="32" t="s">
        <v>240</v>
      </c>
      <c r="V90" s="32">
        <v>160</v>
      </c>
      <c r="W90" s="32" t="s">
        <v>89</v>
      </c>
      <c r="X90" s="32" t="str">
        <f t="shared" si="6"/>
        <v>Printed File 145.1X29.7 CM</v>
      </c>
      <c r="Y90" s="31" t="s">
        <v>260</v>
      </c>
      <c r="Z90" s="32" t="str">
        <f t="shared" si="4"/>
        <v xml:space="preserve">File 145.1x29.7 CM Die Cutting  160 Carft Paper </v>
      </c>
      <c r="AA90" s="32" t="str">
        <f t="shared" si="5"/>
        <v>Printed  Transparent Stcker 5X2 CM</v>
      </c>
      <c r="AB90" s="32" t="s">
        <v>779</v>
      </c>
    </row>
    <row r="91" spans="2:28" x14ac:dyDescent="0.25">
      <c r="B91" s="31" t="s">
        <v>6</v>
      </c>
      <c r="D91" s="32">
        <v>2003</v>
      </c>
      <c r="E91" s="31" t="s">
        <v>6</v>
      </c>
      <c r="F91" s="32" t="s">
        <v>248</v>
      </c>
      <c r="G91" s="31" t="s">
        <v>249</v>
      </c>
      <c r="H91" s="33" t="s">
        <v>97</v>
      </c>
      <c r="I91" s="35" t="s">
        <v>657</v>
      </c>
      <c r="J91" s="32" t="s">
        <v>93</v>
      </c>
      <c r="K91" s="34">
        <v>2</v>
      </c>
      <c r="O91" s="34">
        <v>85.8</v>
      </c>
      <c r="P91" s="34">
        <v>39.700000000000003</v>
      </c>
      <c r="Q91" s="32" t="s">
        <v>94</v>
      </c>
      <c r="S91" s="34"/>
      <c r="T91" s="32" t="s">
        <v>156</v>
      </c>
      <c r="U91" s="32" t="s">
        <v>240</v>
      </c>
      <c r="V91" s="32">
        <v>160</v>
      </c>
      <c r="W91" s="32" t="s">
        <v>89</v>
      </c>
      <c r="X91" s="32" t="str">
        <f t="shared" si="6"/>
        <v>Printed File 85.8X39.7 CM</v>
      </c>
      <c r="Y91" s="31" t="s">
        <v>261</v>
      </c>
      <c r="Z91" s="32" t="str">
        <f t="shared" si="4"/>
        <v xml:space="preserve">File 85.8x39.7 CM Die Cutting  160 Carft Paper </v>
      </c>
      <c r="AA91" s="32" t="str">
        <f t="shared" si="5"/>
        <v>Printed  Insert Belly Band  80.5X10 CM</v>
      </c>
      <c r="AB91" s="32" t="s">
        <v>780</v>
      </c>
    </row>
    <row r="92" spans="2:28" x14ac:dyDescent="0.25">
      <c r="B92" s="31" t="s">
        <v>6</v>
      </c>
      <c r="D92" s="32">
        <v>2003</v>
      </c>
      <c r="E92" s="31" t="s">
        <v>6</v>
      </c>
      <c r="F92" s="32" t="s">
        <v>248</v>
      </c>
      <c r="G92" s="31" t="s">
        <v>249</v>
      </c>
      <c r="H92" s="33" t="s">
        <v>97</v>
      </c>
      <c r="I92" s="35" t="s">
        <v>657</v>
      </c>
      <c r="J92" s="32" t="s">
        <v>93</v>
      </c>
      <c r="K92" s="34">
        <v>2</v>
      </c>
      <c r="O92" s="34">
        <v>58.5</v>
      </c>
      <c r="P92" s="34">
        <v>40</v>
      </c>
      <c r="Q92" s="32" t="s">
        <v>94</v>
      </c>
      <c r="S92" s="34"/>
      <c r="T92" s="32" t="s">
        <v>156</v>
      </c>
      <c r="U92" s="32" t="s">
        <v>237</v>
      </c>
      <c r="V92" s="32">
        <v>350</v>
      </c>
      <c r="W92" s="32" t="s">
        <v>89</v>
      </c>
      <c r="X92" s="32" t="str">
        <f t="shared" si="6"/>
        <v>Printed File 58.5X40 CM</v>
      </c>
      <c r="Y92" s="31" t="s">
        <v>262</v>
      </c>
      <c r="Z92" s="32" t="str">
        <f t="shared" si="4"/>
        <v>File 58.5x40 CM Die Cutting  350 Art Card</v>
      </c>
      <c r="AA92" s="32" t="str">
        <f t="shared" si="5"/>
        <v>Printed  Carton Sticker 3X1.8 CM</v>
      </c>
      <c r="AB92" s="32" t="s">
        <v>781</v>
      </c>
    </row>
    <row r="93" spans="2:28" x14ac:dyDescent="0.25">
      <c r="B93" s="31" t="s">
        <v>6</v>
      </c>
      <c r="D93" s="32">
        <v>2003</v>
      </c>
      <c r="E93" s="31" t="s">
        <v>6</v>
      </c>
      <c r="F93" s="32" t="s">
        <v>248</v>
      </c>
      <c r="G93" s="31" t="s">
        <v>249</v>
      </c>
      <c r="H93" s="33" t="s">
        <v>97</v>
      </c>
      <c r="I93" s="35" t="s">
        <v>657</v>
      </c>
      <c r="J93" s="32" t="s">
        <v>93</v>
      </c>
      <c r="K93" s="34">
        <v>2</v>
      </c>
      <c r="O93" s="34">
        <v>87.75</v>
      </c>
      <c r="P93" s="34">
        <v>40</v>
      </c>
      <c r="Q93" s="32" t="s">
        <v>94</v>
      </c>
      <c r="S93" s="34"/>
      <c r="T93" s="32" t="s">
        <v>156</v>
      </c>
      <c r="U93" s="32" t="s">
        <v>237</v>
      </c>
      <c r="V93" s="32">
        <v>350</v>
      </c>
      <c r="W93" s="32" t="s">
        <v>89</v>
      </c>
      <c r="X93" s="32" t="str">
        <f t="shared" si="6"/>
        <v>Printed File 87.75X40 CM</v>
      </c>
      <c r="Y93" s="31" t="s">
        <v>263</v>
      </c>
      <c r="Z93" s="32" t="str">
        <f t="shared" si="4"/>
        <v>File 87.75x40 CM Die Cutting  350 Art Card</v>
      </c>
      <c r="AA93" s="32" t="str">
        <f t="shared" si="5"/>
        <v>Printed  Insert Belly Band 80.5X10 CM</v>
      </c>
      <c r="AB93" s="32" t="s">
        <v>780</v>
      </c>
    </row>
    <row r="94" spans="2:28" x14ac:dyDescent="0.25">
      <c r="B94" s="31" t="s">
        <v>6</v>
      </c>
      <c r="D94" s="32">
        <v>2003</v>
      </c>
      <c r="E94" s="31" t="s">
        <v>6</v>
      </c>
      <c r="F94" s="32" t="s">
        <v>248</v>
      </c>
      <c r="G94" s="31" t="s">
        <v>249</v>
      </c>
      <c r="H94" s="33" t="s">
        <v>97</v>
      </c>
      <c r="I94" s="35" t="s">
        <v>102</v>
      </c>
      <c r="J94" s="32" t="s">
        <v>93</v>
      </c>
      <c r="K94" s="34">
        <v>1</v>
      </c>
      <c r="O94" s="34">
        <v>4</v>
      </c>
      <c r="P94" s="34">
        <v>2</v>
      </c>
      <c r="Q94" s="32" t="s">
        <v>95</v>
      </c>
      <c r="S94" s="34"/>
      <c r="T94" s="32" t="s">
        <v>156</v>
      </c>
      <c r="U94" s="32" t="s">
        <v>128</v>
      </c>
      <c r="V94" s="32">
        <v>80</v>
      </c>
      <c r="W94" s="32" t="s">
        <v>89</v>
      </c>
      <c r="X94" s="32" t="str">
        <f t="shared" si="6"/>
        <v>Printed Sticker 4X2 Inch</v>
      </c>
      <c r="Y94" s="31" t="s">
        <v>264</v>
      </c>
      <c r="Z94" s="32" t="str">
        <f t="shared" si="4"/>
        <v>Sticker 4x2 Inch Die Cutting  80 Glossy Sticker</v>
      </c>
      <c r="AA94" s="32" t="str">
        <f t="shared" si="5"/>
        <v>Printed  Sticker 11X8.5 CM</v>
      </c>
      <c r="AB94" s="32" t="s">
        <v>782</v>
      </c>
    </row>
    <row r="95" spans="2:28" x14ac:dyDescent="0.25">
      <c r="B95" s="31" t="s">
        <v>6</v>
      </c>
      <c r="D95" s="32">
        <v>2003</v>
      </c>
      <c r="E95" s="31" t="s">
        <v>6</v>
      </c>
      <c r="F95" s="32" t="s">
        <v>248</v>
      </c>
      <c r="G95" s="31" t="s">
        <v>249</v>
      </c>
      <c r="H95" s="33" t="s">
        <v>97</v>
      </c>
      <c r="I95" s="35" t="s">
        <v>648</v>
      </c>
      <c r="J95" s="32" t="s">
        <v>93</v>
      </c>
      <c r="K95" s="34">
        <v>1</v>
      </c>
      <c r="O95" s="34">
        <v>2</v>
      </c>
      <c r="P95" s="34">
        <v>2</v>
      </c>
      <c r="Q95" s="32" t="s">
        <v>95</v>
      </c>
      <c r="S95" s="34"/>
      <c r="T95" s="32" t="s">
        <v>156</v>
      </c>
      <c r="U95" s="32" t="s">
        <v>128</v>
      </c>
      <c r="V95" s="32">
        <v>80</v>
      </c>
      <c r="W95" s="32" t="s">
        <v>89</v>
      </c>
      <c r="X95" s="32" t="str">
        <f t="shared" si="6"/>
        <v>Printed Sticker  2X2 Inch</v>
      </c>
      <c r="Y95" s="31" t="s">
        <v>265</v>
      </c>
      <c r="Z95" s="32" t="str">
        <f t="shared" si="4"/>
        <v>Sticker  2x2 Inch Die Cutting  80 Glossy Sticker</v>
      </c>
      <c r="AA95" s="32" t="str">
        <f t="shared" si="5"/>
        <v>Printed  Band Roll  97.65X10 CM</v>
      </c>
      <c r="AB95" s="32" t="s">
        <v>783</v>
      </c>
    </row>
    <row r="96" spans="2:28" x14ac:dyDescent="0.25">
      <c r="B96" s="31" t="s">
        <v>6</v>
      </c>
      <c r="D96" s="32">
        <v>2003</v>
      </c>
      <c r="E96" s="31" t="s">
        <v>6</v>
      </c>
      <c r="F96" s="32" t="s">
        <v>248</v>
      </c>
      <c r="G96" s="31" t="s">
        <v>249</v>
      </c>
      <c r="H96" s="33" t="s">
        <v>97</v>
      </c>
      <c r="I96" s="35" t="s">
        <v>102</v>
      </c>
      <c r="J96" s="32" t="s">
        <v>93</v>
      </c>
      <c r="K96" s="34">
        <v>1</v>
      </c>
      <c r="O96" s="34">
        <v>6</v>
      </c>
      <c r="P96" s="34">
        <v>4</v>
      </c>
      <c r="Q96" s="32" t="s">
        <v>95</v>
      </c>
      <c r="S96" s="34"/>
      <c r="T96" s="32" t="s">
        <v>156</v>
      </c>
      <c r="U96" s="32" t="s">
        <v>128</v>
      </c>
      <c r="V96" s="32">
        <v>80</v>
      </c>
      <c r="W96" s="32" t="s">
        <v>89</v>
      </c>
      <c r="X96" s="32" t="str">
        <f t="shared" si="6"/>
        <v>Printed Sticker 6X4 Inch</v>
      </c>
      <c r="Y96" s="31" t="s">
        <v>266</v>
      </c>
      <c r="Z96" s="32" t="str">
        <f t="shared" si="4"/>
        <v>Sticker 6x4 Inch Die Cutting  80 Glossy Sticker</v>
      </c>
      <c r="AA96" s="32" t="str">
        <f t="shared" si="5"/>
        <v>Printed  Band Roll  80.65X10 CM</v>
      </c>
      <c r="AB96" s="32" t="s">
        <v>784</v>
      </c>
    </row>
    <row r="97" spans="2:28" x14ac:dyDescent="0.25">
      <c r="B97" s="31" t="s">
        <v>6</v>
      </c>
      <c r="D97" s="32">
        <v>2003</v>
      </c>
      <c r="E97" s="31" t="s">
        <v>6</v>
      </c>
      <c r="F97" s="32" t="s">
        <v>248</v>
      </c>
      <c r="G97" s="31" t="s">
        <v>249</v>
      </c>
      <c r="H97" s="33" t="s">
        <v>97</v>
      </c>
      <c r="I97" s="31" t="s">
        <v>137</v>
      </c>
      <c r="J97" s="32" t="s">
        <v>93</v>
      </c>
      <c r="K97" s="34">
        <v>2</v>
      </c>
      <c r="O97" s="34">
        <v>3</v>
      </c>
      <c r="P97" s="34">
        <v>6</v>
      </c>
      <c r="Q97" s="32" t="s">
        <v>95</v>
      </c>
      <c r="S97" s="34"/>
      <c r="T97" s="32" t="s">
        <v>156</v>
      </c>
      <c r="U97" s="32" t="s">
        <v>128</v>
      </c>
      <c r="V97" s="32">
        <v>80</v>
      </c>
      <c r="W97" s="32" t="s">
        <v>89</v>
      </c>
      <c r="X97" s="32" t="str">
        <f t="shared" si="6"/>
        <v>Printed Carton Sticker  3X6 Inch</v>
      </c>
      <c r="Y97" s="31" t="s">
        <v>267</v>
      </c>
      <c r="Z97" s="32" t="str">
        <f t="shared" si="4"/>
        <v>Carton Sticker  3x6 Inch Die Cutting  80 Glossy Sticker</v>
      </c>
      <c r="AA97" s="32" t="str">
        <f t="shared" si="5"/>
        <v>Printed  Band Roll  83.65X10 CM</v>
      </c>
      <c r="AB97" s="32" t="s">
        <v>785</v>
      </c>
    </row>
    <row r="98" spans="2:28" x14ac:dyDescent="0.25">
      <c r="B98" s="31" t="s">
        <v>6</v>
      </c>
      <c r="D98" s="32">
        <v>2003</v>
      </c>
      <c r="E98" s="31" t="s">
        <v>6</v>
      </c>
      <c r="F98" s="32" t="s">
        <v>248</v>
      </c>
      <c r="G98" s="31" t="s">
        <v>249</v>
      </c>
      <c r="H98" s="31" t="s">
        <v>97</v>
      </c>
      <c r="I98" s="35" t="s">
        <v>241</v>
      </c>
      <c r="J98" s="32" t="s">
        <v>93</v>
      </c>
      <c r="K98" s="34">
        <v>1</v>
      </c>
      <c r="O98" s="34">
        <v>5</v>
      </c>
      <c r="P98" s="34">
        <v>2</v>
      </c>
      <c r="Q98" s="32" t="s">
        <v>94</v>
      </c>
      <c r="R98" s="34" t="s">
        <v>242</v>
      </c>
      <c r="S98" s="34"/>
      <c r="T98" s="32" t="s">
        <v>156</v>
      </c>
      <c r="U98" s="34" t="s">
        <v>243</v>
      </c>
      <c r="V98" s="32">
        <v>80</v>
      </c>
      <c r="W98" s="32" t="s">
        <v>89</v>
      </c>
      <c r="X98" s="32" t="str">
        <f t="shared" si="6"/>
        <v>Printed Transparent Stcker 5X2 CM</v>
      </c>
      <c r="Y98" s="31" t="s">
        <v>268</v>
      </c>
      <c r="Z98" s="32" t="str">
        <f t="shared" si="4"/>
        <v>Transparent Stcker 5x2 CM Die Cutting  80 Transparency Sticker</v>
      </c>
      <c r="AA98" s="32" t="str">
        <f t="shared" si="5"/>
        <v>Printed MATT  Band Roll  85.65X10 CM</v>
      </c>
      <c r="AB98" s="32" t="s">
        <v>786</v>
      </c>
    </row>
    <row r="99" spans="2:28" x14ac:dyDescent="0.25">
      <c r="B99" s="31" t="s">
        <v>6</v>
      </c>
      <c r="D99" s="32">
        <v>2003</v>
      </c>
      <c r="E99" s="31" t="s">
        <v>6</v>
      </c>
      <c r="F99" s="32" t="s">
        <v>248</v>
      </c>
      <c r="G99" s="31" t="s">
        <v>249</v>
      </c>
      <c r="H99" s="31" t="s">
        <v>97</v>
      </c>
      <c r="I99" s="31" t="s">
        <v>247</v>
      </c>
      <c r="J99" s="32" t="s">
        <v>93</v>
      </c>
      <c r="K99" s="34">
        <v>1</v>
      </c>
      <c r="O99" s="34">
        <v>80.5</v>
      </c>
      <c r="P99" s="34">
        <v>10</v>
      </c>
      <c r="Q99" s="32" t="s">
        <v>94</v>
      </c>
      <c r="S99" s="34"/>
      <c r="T99" s="32" t="s">
        <v>156</v>
      </c>
      <c r="U99" s="32" t="s">
        <v>110</v>
      </c>
      <c r="V99" s="32">
        <v>300</v>
      </c>
      <c r="W99" s="32" t="s">
        <v>89</v>
      </c>
      <c r="X99" s="32" t="str">
        <f t="shared" si="6"/>
        <v>Printed Insert Belly Band  80.5X10 CM</v>
      </c>
      <c r="Y99" s="31" t="s">
        <v>269</v>
      </c>
      <c r="Z99" s="32" t="str">
        <f t="shared" si="4"/>
        <v>Insert Belly Band  80.5x10 CM Die Cutting  300 Swedish Board</v>
      </c>
      <c r="AA99" s="32" t="str">
        <f t="shared" si="5"/>
        <v>Printed  Band Roll  86.4X10 CM</v>
      </c>
      <c r="AB99" s="32" t="s">
        <v>787</v>
      </c>
    </row>
    <row r="100" spans="2:28" x14ac:dyDescent="0.25">
      <c r="B100" s="31" t="s">
        <v>6</v>
      </c>
      <c r="D100" s="32">
        <v>2003</v>
      </c>
      <c r="E100" s="31" t="s">
        <v>6</v>
      </c>
      <c r="F100" s="32" t="s">
        <v>248</v>
      </c>
      <c r="G100" s="31" t="s">
        <v>249</v>
      </c>
      <c r="H100" s="33" t="s">
        <v>97</v>
      </c>
      <c r="I100" s="31" t="s">
        <v>34</v>
      </c>
      <c r="J100" s="32" t="s">
        <v>93</v>
      </c>
      <c r="K100" s="34">
        <v>1</v>
      </c>
      <c r="O100" s="34">
        <v>3</v>
      </c>
      <c r="P100" s="34">
        <v>1.8</v>
      </c>
      <c r="Q100" s="32" t="s">
        <v>94</v>
      </c>
      <c r="R100" s="34" t="s">
        <v>242</v>
      </c>
      <c r="S100" s="34"/>
      <c r="T100" s="32" t="s">
        <v>156</v>
      </c>
      <c r="U100" s="32" t="s">
        <v>128</v>
      </c>
      <c r="V100" s="32">
        <v>300</v>
      </c>
      <c r="W100" s="32" t="s">
        <v>89</v>
      </c>
      <c r="X100" s="32" t="str">
        <f t="shared" si="6"/>
        <v>Printed Carton Sticker 3X1.8 CM</v>
      </c>
      <c r="Y100" s="31" t="s">
        <v>270</v>
      </c>
      <c r="Z100" s="32" t="str">
        <f t="shared" si="4"/>
        <v>Carton Sticker 3x1.8 CM Die Cutting  300 Glossy Sticker</v>
      </c>
      <c r="AA100" s="32" t="str">
        <f t="shared" si="5"/>
        <v>Printed MATT  Band Roll  88.4X10 CM</v>
      </c>
      <c r="AB100" s="32" t="s">
        <v>788</v>
      </c>
    </row>
    <row r="101" spans="2:28" x14ac:dyDescent="0.25">
      <c r="B101" s="31" t="s">
        <v>6</v>
      </c>
      <c r="D101" s="32">
        <v>2003</v>
      </c>
      <c r="E101" s="31" t="s">
        <v>6</v>
      </c>
      <c r="F101" s="32" t="s">
        <v>248</v>
      </c>
      <c r="G101" s="31" t="s">
        <v>249</v>
      </c>
      <c r="H101" s="33" t="s">
        <v>97</v>
      </c>
      <c r="I101" s="31" t="s">
        <v>327</v>
      </c>
      <c r="J101" s="32" t="s">
        <v>93</v>
      </c>
      <c r="K101" s="34">
        <v>1</v>
      </c>
      <c r="O101" s="34">
        <v>80.5</v>
      </c>
      <c r="P101" s="34">
        <v>10</v>
      </c>
      <c r="Q101" s="32" t="s">
        <v>94</v>
      </c>
      <c r="S101" s="34"/>
      <c r="T101" s="32" t="s">
        <v>156</v>
      </c>
      <c r="U101" s="32" t="s">
        <v>110</v>
      </c>
      <c r="V101" s="32">
        <v>300</v>
      </c>
      <c r="W101" s="32" t="s">
        <v>89</v>
      </c>
      <c r="X101" s="32" t="str">
        <f t="shared" si="6"/>
        <v>Printed Insert Belly Band 80.5X10 CM</v>
      </c>
      <c r="Y101" s="31" t="s">
        <v>271</v>
      </c>
      <c r="Z101" s="32" t="str">
        <f t="shared" si="4"/>
        <v>Insert Belly Band 80.5x10 CM Die Cutting  300 Swedish Board</v>
      </c>
      <c r="AA101" s="32" t="str">
        <f t="shared" si="5"/>
        <v>Printed  Band Roll  90.4X10 CM</v>
      </c>
      <c r="AB101" s="32" t="s">
        <v>789</v>
      </c>
    </row>
    <row r="102" spans="2:28" x14ac:dyDescent="0.25">
      <c r="B102" s="31" t="s">
        <v>6</v>
      </c>
      <c r="D102" s="32">
        <v>2003</v>
      </c>
      <c r="E102" s="31" t="s">
        <v>6</v>
      </c>
      <c r="F102" s="32" t="s">
        <v>248</v>
      </c>
      <c r="G102" s="31" t="s">
        <v>249</v>
      </c>
      <c r="H102" s="31" t="s">
        <v>97</v>
      </c>
      <c r="I102" s="31" t="s">
        <v>102</v>
      </c>
      <c r="J102" s="32" t="s">
        <v>93</v>
      </c>
      <c r="K102" s="34">
        <v>4</v>
      </c>
      <c r="O102" s="34">
        <v>11</v>
      </c>
      <c r="P102" s="34">
        <v>8.5</v>
      </c>
      <c r="Q102" s="32" t="s">
        <v>94</v>
      </c>
      <c r="R102" s="32" t="s">
        <v>166</v>
      </c>
      <c r="S102" s="34"/>
      <c r="T102" s="32" t="s">
        <v>119</v>
      </c>
      <c r="U102" s="32" t="s">
        <v>128</v>
      </c>
      <c r="V102" s="32">
        <v>300</v>
      </c>
      <c r="W102" s="32" t="s">
        <v>89</v>
      </c>
      <c r="X102" s="32" t="str">
        <f t="shared" si="6"/>
        <v>Printed Sticker 11X8.5 CM</v>
      </c>
      <c r="Y102" s="31" t="s">
        <v>272</v>
      </c>
      <c r="Z102" s="32" t="str">
        <f t="shared" si="4"/>
        <v>Sticker 11x8.5 CM Pollar Cutting 300 Glossy Sticker</v>
      </c>
      <c r="AA102" s="32" t="str">
        <f t="shared" si="5"/>
        <v>Printed Matt Band Roll  77.65X10 CM</v>
      </c>
      <c r="AB102" s="32" t="s">
        <v>790</v>
      </c>
    </row>
    <row r="103" spans="2:28" x14ac:dyDescent="0.25">
      <c r="B103" s="31" t="s">
        <v>6</v>
      </c>
      <c r="D103" s="32">
        <v>2003</v>
      </c>
      <c r="E103" s="31" t="s">
        <v>6</v>
      </c>
      <c r="F103" s="32" t="s">
        <v>248</v>
      </c>
      <c r="G103" s="31" t="s">
        <v>249</v>
      </c>
      <c r="H103" s="33" t="s">
        <v>97</v>
      </c>
      <c r="I103" s="35" t="s">
        <v>121</v>
      </c>
      <c r="J103" s="32" t="s">
        <v>93</v>
      </c>
      <c r="K103" s="34">
        <v>6</v>
      </c>
      <c r="O103" s="34">
        <v>97.65</v>
      </c>
      <c r="P103" s="34">
        <v>10</v>
      </c>
      <c r="Q103" s="32" t="s">
        <v>94</v>
      </c>
      <c r="R103" s="34" t="s">
        <v>166</v>
      </c>
      <c r="S103" s="34"/>
      <c r="T103" s="32" t="s">
        <v>156</v>
      </c>
      <c r="U103" s="32" t="s">
        <v>110</v>
      </c>
      <c r="V103" s="32">
        <v>400</v>
      </c>
      <c r="W103" s="32" t="s">
        <v>89</v>
      </c>
      <c r="X103" s="32" t="str">
        <f t="shared" si="6"/>
        <v>Printed Band Roll  97.65X10 CM</v>
      </c>
      <c r="Y103" s="31" t="s">
        <v>273</v>
      </c>
      <c r="Z103" s="32" t="str">
        <f t="shared" si="4"/>
        <v>Band Roll  97.65x10 CM Die Cutting  400 Swedish Board</v>
      </c>
      <c r="AA103" s="32" t="str">
        <f t="shared" si="5"/>
        <v>Printed Matt Band Roll  81.4X10 CM</v>
      </c>
      <c r="AB103" s="32" t="s">
        <v>791</v>
      </c>
    </row>
    <row r="104" spans="2:28" x14ac:dyDescent="0.25">
      <c r="B104" s="31" t="s">
        <v>6</v>
      </c>
      <c r="D104" s="32">
        <v>2003</v>
      </c>
      <c r="E104" s="31" t="s">
        <v>6</v>
      </c>
      <c r="F104" s="32" t="s">
        <v>248</v>
      </c>
      <c r="G104" s="31" t="s">
        <v>249</v>
      </c>
      <c r="H104" s="33" t="s">
        <v>97</v>
      </c>
      <c r="I104" s="35" t="s">
        <v>121</v>
      </c>
      <c r="J104" s="32" t="s">
        <v>93</v>
      </c>
      <c r="K104" s="34">
        <v>4</v>
      </c>
      <c r="O104" s="34">
        <v>80.650000000000006</v>
      </c>
      <c r="P104" s="34">
        <v>10</v>
      </c>
      <c r="Q104" s="32" t="s">
        <v>94</v>
      </c>
      <c r="R104" s="34" t="s">
        <v>166</v>
      </c>
      <c r="S104" s="34"/>
      <c r="T104" s="32" t="s">
        <v>156</v>
      </c>
      <c r="U104" s="32" t="s">
        <v>110</v>
      </c>
      <c r="V104" s="32">
        <v>400</v>
      </c>
      <c r="W104" s="32" t="s">
        <v>89</v>
      </c>
      <c r="X104" s="32" t="str">
        <f t="shared" si="6"/>
        <v>Printed Band Roll  80.65X10 CM</v>
      </c>
      <c r="Y104" s="31" t="s">
        <v>274</v>
      </c>
      <c r="Z104" s="32" t="str">
        <f t="shared" si="4"/>
        <v>Band Roll  80.65x10 CM Die Cutting  400 Swedish Board</v>
      </c>
      <c r="AA104" s="32" t="str">
        <f t="shared" si="5"/>
        <v>Printed Matt Band Roll  84.4X10 CM</v>
      </c>
      <c r="AB104" s="32" t="s">
        <v>792</v>
      </c>
    </row>
    <row r="105" spans="2:28" x14ac:dyDescent="0.25">
      <c r="B105" s="31" t="s">
        <v>6</v>
      </c>
      <c r="D105" s="32">
        <v>2003</v>
      </c>
      <c r="E105" s="31" t="s">
        <v>6</v>
      </c>
      <c r="F105" s="32" t="s">
        <v>248</v>
      </c>
      <c r="G105" s="31" t="s">
        <v>249</v>
      </c>
      <c r="H105" s="33" t="s">
        <v>97</v>
      </c>
      <c r="I105" s="35" t="s">
        <v>121</v>
      </c>
      <c r="J105" s="32" t="s">
        <v>93</v>
      </c>
      <c r="K105" s="34">
        <v>6</v>
      </c>
      <c r="O105" s="34">
        <v>83.65</v>
      </c>
      <c r="P105" s="34">
        <v>10</v>
      </c>
      <c r="Q105" s="32" t="s">
        <v>94</v>
      </c>
      <c r="R105" s="34" t="s">
        <v>166</v>
      </c>
      <c r="S105" s="34"/>
      <c r="T105" s="32" t="s">
        <v>156</v>
      </c>
      <c r="U105" s="32" t="s">
        <v>110</v>
      </c>
      <c r="V105" s="32">
        <v>400</v>
      </c>
      <c r="W105" s="32" t="s">
        <v>89</v>
      </c>
      <c r="X105" s="32" t="str">
        <f t="shared" si="6"/>
        <v>Printed Band Roll  83.65X10 CM</v>
      </c>
      <c r="Y105" s="31" t="s">
        <v>275</v>
      </c>
      <c r="Z105" s="32" t="str">
        <f t="shared" si="4"/>
        <v>Band Roll  83.65x10 CM Die Cutting  400 Swedish Board</v>
      </c>
      <c r="AA105" s="32" t="str">
        <f t="shared" si="5"/>
        <v>Printed Matt Insert  23.5X12.5 CM</v>
      </c>
      <c r="AB105" s="32" t="s">
        <v>793</v>
      </c>
    </row>
    <row r="106" spans="2:28" x14ac:dyDescent="0.25">
      <c r="B106" s="31" t="s">
        <v>6</v>
      </c>
      <c r="D106" s="32">
        <v>2003</v>
      </c>
      <c r="E106" s="31" t="s">
        <v>6</v>
      </c>
      <c r="F106" s="32" t="s">
        <v>248</v>
      </c>
      <c r="G106" s="31" t="s">
        <v>249</v>
      </c>
      <c r="H106" s="33" t="s">
        <v>97</v>
      </c>
      <c r="I106" s="35" t="s">
        <v>121</v>
      </c>
      <c r="J106" s="32" t="s">
        <v>93</v>
      </c>
      <c r="K106" s="34">
        <v>6</v>
      </c>
      <c r="O106" s="34">
        <v>85.65</v>
      </c>
      <c r="P106" s="34">
        <v>10</v>
      </c>
      <c r="Q106" s="32" t="s">
        <v>94</v>
      </c>
      <c r="R106" s="34" t="s">
        <v>166</v>
      </c>
      <c r="S106" s="34"/>
      <c r="T106" s="32" t="s">
        <v>156</v>
      </c>
      <c r="U106" s="32" t="s">
        <v>110</v>
      </c>
      <c r="V106" s="32">
        <v>400</v>
      </c>
      <c r="W106" s="32" t="s">
        <v>89</v>
      </c>
      <c r="X106" s="32" t="str">
        <f t="shared" si="6"/>
        <v>Printed Band Roll  85.65X10 CM</v>
      </c>
      <c r="Y106" s="31" t="s">
        <v>276</v>
      </c>
      <c r="Z106" s="32" t="str">
        <f t="shared" si="4"/>
        <v>Band Roll  85.65x10 CM Die Cutting  400 Swedish Board</v>
      </c>
      <c r="AA106" s="32" t="str">
        <f t="shared" si="5"/>
        <v>Printed Matt Insert  24.5X12.5 CM</v>
      </c>
      <c r="AB106" s="32" t="s">
        <v>794</v>
      </c>
    </row>
    <row r="107" spans="2:28" x14ac:dyDescent="0.25">
      <c r="B107" s="31" t="s">
        <v>6</v>
      </c>
      <c r="D107" s="32">
        <v>2003</v>
      </c>
      <c r="E107" s="31" t="s">
        <v>6</v>
      </c>
      <c r="F107" s="32" t="s">
        <v>248</v>
      </c>
      <c r="G107" s="31" t="s">
        <v>249</v>
      </c>
      <c r="H107" s="33" t="s">
        <v>97</v>
      </c>
      <c r="I107" s="31" t="s">
        <v>121</v>
      </c>
      <c r="J107" s="32" t="s">
        <v>93</v>
      </c>
      <c r="K107" s="34">
        <v>5</v>
      </c>
      <c r="O107" s="34">
        <v>86.4</v>
      </c>
      <c r="P107" s="34">
        <v>10</v>
      </c>
      <c r="Q107" s="32" t="s">
        <v>94</v>
      </c>
      <c r="R107" s="34" t="s">
        <v>166</v>
      </c>
      <c r="S107" s="34"/>
      <c r="T107" s="32" t="s">
        <v>156</v>
      </c>
      <c r="U107" s="32" t="s">
        <v>110</v>
      </c>
      <c r="V107" s="32">
        <v>400</v>
      </c>
      <c r="W107" s="32" t="s">
        <v>89</v>
      </c>
      <c r="X107" s="32" t="str">
        <f t="shared" si="6"/>
        <v>Printed Band Roll  86.4X10 CM</v>
      </c>
      <c r="Y107" s="31" t="s">
        <v>277</v>
      </c>
      <c r="Z107" s="32" t="str">
        <f t="shared" si="4"/>
        <v>Band Roll  86.4x10 CM Die Cutting  400 Swedish Board</v>
      </c>
      <c r="AA107" s="32" t="str">
        <f t="shared" si="5"/>
        <v>Printed Matt Insert  14.5X7 CM</v>
      </c>
      <c r="AB107" s="32" t="s">
        <v>795</v>
      </c>
    </row>
    <row r="108" spans="2:28" x14ac:dyDescent="0.25">
      <c r="B108" s="31" t="s">
        <v>6</v>
      </c>
      <c r="D108" s="32">
        <v>2003</v>
      </c>
      <c r="E108" s="31" t="s">
        <v>6</v>
      </c>
      <c r="F108" s="32" t="s">
        <v>248</v>
      </c>
      <c r="G108" s="31" t="s">
        <v>249</v>
      </c>
      <c r="H108" s="33" t="s">
        <v>97</v>
      </c>
      <c r="I108" s="31" t="s">
        <v>121</v>
      </c>
      <c r="J108" s="32" t="s">
        <v>93</v>
      </c>
      <c r="K108" s="34">
        <v>5</v>
      </c>
      <c r="O108" s="34">
        <v>88.4</v>
      </c>
      <c r="P108" s="34">
        <v>10</v>
      </c>
      <c r="Q108" s="32" t="s">
        <v>94</v>
      </c>
      <c r="R108" s="34" t="s">
        <v>166</v>
      </c>
      <c r="S108" s="34"/>
      <c r="T108" s="32" t="s">
        <v>156</v>
      </c>
      <c r="U108" s="32" t="s">
        <v>110</v>
      </c>
      <c r="V108" s="32">
        <v>400</v>
      </c>
      <c r="W108" s="32" t="s">
        <v>89</v>
      </c>
      <c r="X108" s="32" t="str">
        <f t="shared" si="6"/>
        <v>Printed Band Roll  88.4X10 CM</v>
      </c>
      <c r="Y108" s="31" t="s">
        <v>278</v>
      </c>
      <c r="Z108" s="32" t="str">
        <f t="shared" si="4"/>
        <v>Band Roll  88.4x10 CM Die Cutting  400 Swedish Board</v>
      </c>
      <c r="AA108" s="32" t="str">
        <f t="shared" si="5"/>
        <v>Printed Matt Insert  34.8X25.8 CM</v>
      </c>
      <c r="AB108" s="32" t="s">
        <v>796</v>
      </c>
    </row>
    <row r="109" spans="2:28" x14ac:dyDescent="0.25">
      <c r="B109" s="31" t="s">
        <v>6</v>
      </c>
      <c r="D109" s="32">
        <v>2003</v>
      </c>
      <c r="E109" s="31" t="s">
        <v>6</v>
      </c>
      <c r="F109" s="32" t="s">
        <v>248</v>
      </c>
      <c r="G109" s="31" t="s">
        <v>249</v>
      </c>
      <c r="H109" s="33" t="s">
        <v>97</v>
      </c>
      <c r="I109" s="31" t="s">
        <v>121</v>
      </c>
      <c r="J109" s="32" t="s">
        <v>93</v>
      </c>
      <c r="K109" s="34">
        <v>5</v>
      </c>
      <c r="O109" s="34">
        <v>90.4</v>
      </c>
      <c r="P109" s="34">
        <v>10</v>
      </c>
      <c r="Q109" s="32" t="s">
        <v>94</v>
      </c>
      <c r="R109" s="34" t="s">
        <v>166</v>
      </c>
      <c r="S109" s="34"/>
      <c r="T109" s="32" t="s">
        <v>156</v>
      </c>
      <c r="U109" s="32" t="s">
        <v>110</v>
      </c>
      <c r="V109" s="32">
        <v>400</v>
      </c>
      <c r="W109" s="32" t="s">
        <v>89</v>
      </c>
      <c r="X109" s="32" t="str">
        <f t="shared" si="6"/>
        <v>Printed Band Roll  90.4X10 CM</v>
      </c>
      <c r="Y109" s="31" t="s">
        <v>279</v>
      </c>
      <c r="Z109" s="32" t="str">
        <f t="shared" si="4"/>
        <v>Band Roll  90.4x10 CM Die Cutting  400 Swedish Board</v>
      </c>
      <c r="AA109" s="32" t="str">
        <f t="shared" si="5"/>
        <v>Printed Matt Belly Band  48X9.5 CM</v>
      </c>
      <c r="AB109" s="32" t="s">
        <v>797</v>
      </c>
    </row>
    <row r="110" spans="2:28" x14ac:dyDescent="0.25">
      <c r="B110" s="31" t="s">
        <v>6</v>
      </c>
      <c r="D110" s="32">
        <v>2003</v>
      </c>
      <c r="E110" s="31" t="s">
        <v>6</v>
      </c>
      <c r="F110" s="32" t="s">
        <v>248</v>
      </c>
      <c r="G110" s="31" t="s">
        <v>249</v>
      </c>
      <c r="H110" s="33" t="s">
        <v>97</v>
      </c>
      <c r="I110" s="31" t="s">
        <v>121</v>
      </c>
      <c r="J110" s="32" t="s">
        <v>93</v>
      </c>
      <c r="K110" s="34">
        <v>5</v>
      </c>
      <c r="O110" s="34">
        <v>77.650000000000006</v>
      </c>
      <c r="P110" s="34">
        <v>10</v>
      </c>
      <c r="Q110" s="32" t="s">
        <v>94</v>
      </c>
      <c r="R110" s="34" t="s">
        <v>166</v>
      </c>
      <c r="S110" s="34"/>
      <c r="T110" s="32" t="s">
        <v>156</v>
      </c>
      <c r="U110" s="32" t="s">
        <v>110</v>
      </c>
      <c r="V110" s="32">
        <v>400</v>
      </c>
      <c r="W110" s="32" t="s">
        <v>89</v>
      </c>
      <c r="X110" s="32" t="str">
        <f t="shared" si="6"/>
        <v>Printed Band Roll  77.65X10 CM</v>
      </c>
      <c r="Y110" s="31" t="s">
        <v>280</v>
      </c>
      <c r="Z110" s="32" t="str">
        <f t="shared" si="4"/>
        <v>Band Roll  77.65x10 CM Die Cutting  400 Swedish Board</v>
      </c>
      <c r="AA110" s="32" t="str">
        <f t="shared" si="5"/>
        <v>Printed Matt Insert (Front+Back) 13X13 CM</v>
      </c>
      <c r="AB110" s="32" t="s">
        <v>675</v>
      </c>
    </row>
    <row r="111" spans="2:28" x14ac:dyDescent="0.25">
      <c r="B111" s="31" t="s">
        <v>6</v>
      </c>
      <c r="D111" s="32">
        <v>2003</v>
      </c>
      <c r="E111" s="31" t="s">
        <v>6</v>
      </c>
      <c r="F111" s="32" t="s">
        <v>248</v>
      </c>
      <c r="G111" s="31" t="s">
        <v>249</v>
      </c>
      <c r="H111" s="33" t="s">
        <v>97</v>
      </c>
      <c r="I111" s="31" t="s">
        <v>121</v>
      </c>
      <c r="J111" s="32" t="s">
        <v>93</v>
      </c>
      <c r="K111" s="34">
        <v>5</v>
      </c>
      <c r="O111" s="34">
        <v>81.400000000000006</v>
      </c>
      <c r="P111" s="34">
        <v>10</v>
      </c>
      <c r="Q111" s="32" t="s">
        <v>94</v>
      </c>
      <c r="R111" s="34" t="s">
        <v>166</v>
      </c>
      <c r="S111" s="34"/>
      <c r="T111" s="32" t="s">
        <v>156</v>
      </c>
      <c r="U111" s="32" t="s">
        <v>110</v>
      </c>
      <c r="V111" s="32">
        <v>400</v>
      </c>
      <c r="W111" s="32" t="s">
        <v>89</v>
      </c>
      <c r="X111" s="32" t="str">
        <f t="shared" si="6"/>
        <v>Printed Band Roll  81.4X10 CM</v>
      </c>
      <c r="Y111" s="31" t="s">
        <v>281</v>
      </c>
      <c r="Z111" s="32" t="str">
        <f t="shared" si="4"/>
        <v>Band Roll  81.4x10 CM Die Cutting  400 Swedish Board</v>
      </c>
      <c r="AA111" s="32" t="str">
        <f t="shared" si="5"/>
        <v>Printed Matt Poly Sticker 5X3 CM</v>
      </c>
      <c r="AB111" s="32" t="s">
        <v>676</v>
      </c>
    </row>
    <row r="112" spans="2:28" x14ac:dyDescent="0.25">
      <c r="B112" s="31" t="s">
        <v>6</v>
      </c>
      <c r="D112" s="32">
        <v>2003</v>
      </c>
      <c r="E112" s="31" t="s">
        <v>6</v>
      </c>
      <c r="F112" s="32" t="s">
        <v>248</v>
      </c>
      <c r="G112" s="31" t="s">
        <v>249</v>
      </c>
      <c r="H112" s="31" t="s">
        <v>97</v>
      </c>
      <c r="I112" s="31" t="s">
        <v>121</v>
      </c>
      <c r="J112" s="32" t="s">
        <v>93</v>
      </c>
      <c r="K112" s="34">
        <v>5</v>
      </c>
      <c r="O112" s="34">
        <v>84.4</v>
      </c>
      <c r="P112" s="34">
        <v>10</v>
      </c>
      <c r="Q112" s="32" t="s">
        <v>94</v>
      </c>
      <c r="S112" s="34"/>
      <c r="T112" s="32" t="s">
        <v>156</v>
      </c>
      <c r="U112" s="32" t="s">
        <v>110</v>
      </c>
      <c r="V112" s="32">
        <v>400</v>
      </c>
      <c r="W112" s="32" t="s">
        <v>89</v>
      </c>
      <c r="X112" s="32" t="str">
        <f t="shared" si="6"/>
        <v>Printed Band Roll  84.4X10 CM</v>
      </c>
      <c r="Y112" s="31" t="s">
        <v>282</v>
      </c>
      <c r="Z112" s="32" t="str">
        <f t="shared" si="4"/>
        <v>Band Roll  84.4x10 CM Die Cutting  400 Swedish Board</v>
      </c>
      <c r="AA112" s="32" t="str">
        <f t="shared" si="5"/>
        <v>Printed  Insert  15X15 CM</v>
      </c>
      <c r="AB112" s="32" t="s">
        <v>798</v>
      </c>
    </row>
    <row r="113" spans="2:28" x14ac:dyDescent="0.25">
      <c r="B113" s="31" t="s">
        <v>6</v>
      </c>
      <c r="D113" s="32">
        <v>2003</v>
      </c>
      <c r="E113" s="31" t="s">
        <v>6</v>
      </c>
      <c r="F113" s="32" t="s">
        <v>248</v>
      </c>
      <c r="G113" s="31" t="s">
        <v>249</v>
      </c>
      <c r="H113" s="33" t="s">
        <v>97</v>
      </c>
      <c r="I113" s="35" t="s">
        <v>112</v>
      </c>
      <c r="J113" s="32" t="s">
        <v>93</v>
      </c>
      <c r="K113" s="34">
        <v>5</v>
      </c>
      <c r="O113" s="34">
        <v>23.5</v>
      </c>
      <c r="P113" s="34">
        <v>12.5</v>
      </c>
      <c r="Q113" s="32" t="s">
        <v>94</v>
      </c>
      <c r="S113" s="34"/>
      <c r="T113" s="32" t="s">
        <v>119</v>
      </c>
      <c r="U113" s="32" t="s">
        <v>244</v>
      </c>
      <c r="V113" s="32">
        <v>300</v>
      </c>
      <c r="W113" s="32" t="s">
        <v>89</v>
      </c>
      <c r="X113" s="32" t="str">
        <f t="shared" si="6"/>
        <v>Printed Insert  23.5X12.5 CM</v>
      </c>
      <c r="Y113" s="31" t="s">
        <v>283</v>
      </c>
      <c r="Z113" s="32" t="str">
        <f t="shared" si="4"/>
        <v>Insert  23.5x12.5 CM Pollar Cutting 300 Duplex</v>
      </c>
      <c r="AA113" s="32" t="str">
        <f t="shared" si="5"/>
        <v>Printed  Hang Tag 10.5X2.5 CM</v>
      </c>
      <c r="AB113" s="32" t="s">
        <v>799</v>
      </c>
    </row>
    <row r="114" spans="2:28" x14ac:dyDescent="0.25">
      <c r="B114" s="31" t="s">
        <v>6</v>
      </c>
      <c r="D114" s="32">
        <v>2003</v>
      </c>
      <c r="E114" s="31" t="s">
        <v>6</v>
      </c>
      <c r="F114" s="32" t="s">
        <v>248</v>
      </c>
      <c r="G114" s="31" t="s">
        <v>249</v>
      </c>
      <c r="H114" s="33" t="s">
        <v>97</v>
      </c>
      <c r="I114" s="35" t="s">
        <v>112</v>
      </c>
      <c r="J114" s="32" t="s">
        <v>93</v>
      </c>
      <c r="K114" s="34">
        <v>5</v>
      </c>
      <c r="O114" s="34">
        <v>24.5</v>
      </c>
      <c r="P114" s="34">
        <v>12.5</v>
      </c>
      <c r="Q114" s="32" t="s">
        <v>94</v>
      </c>
      <c r="S114" s="34"/>
      <c r="T114" s="32" t="s">
        <v>119</v>
      </c>
      <c r="U114" s="32" t="s">
        <v>244</v>
      </c>
      <c r="V114" s="32">
        <v>300</v>
      </c>
      <c r="W114" s="32" t="s">
        <v>89</v>
      </c>
      <c r="X114" s="32" t="str">
        <f t="shared" si="6"/>
        <v>Printed Insert  24.5X12.5 CM</v>
      </c>
      <c r="Y114" s="31" t="s">
        <v>284</v>
      </c>
      <c r="Z114" s="32" t="str">
        <f t="shared" si="4"/>
        <v>Insert  24.5x12.5 CM Pollar Cutting 300 Duplex</v>
      </c>
      <c r="AA114" s="32" t="str">
        <f t="shared" si="5"/>
        <v>Printed  Hang Tag 5X5 CM</v>
      </c>
      <c r="AB114" s="32" t="s">
        <v>800</v>
      </c>
    </row>
    <row r="115" spans="2:28" x14ac:dyDescent="0.25">
      <c r="B115" s="31" t="s">
        <v>6</v>
      </c>
      <c r="D115" s="32">
        <v>2003</v>
      </c>
      <c r="E115" s="31" t="s">
        <v>6</v>
      </c>
      <c r="F115" s="32" t="s">
        <v>248</v>
      </c>
      <c r="G115" s="31" t="s">
        <v>249</v>
      </c>
      <c r="H115" s="33" t="s">
        <v>97</v>
      </c>
      <c r="I115" s="35" t="s">
        <v>112</v>
      </c>
      <c r="J115" s="32" t="s">
        <v>93</v>
      </c>
      <c r="K115" s="34">
        <v>1</v>
      </c>
      <c r="O115" s="34">
        <v>14.5</v>
      </c>
      <c r="P115" s="34">
        <v>7</v>
      </c>
      <c r="Q115" s="32" t="s">
        <v>94</v>
      </c>
      <c r="S115" s="34" t="s">
        <v>122</v>
      </c>
      <c r="T115" s="32" t="s">
        <v>119</v>
      </c>
      <c r="U115" s="32" t="s">
        <v>237</v>
      </c>
      <c r="V115" s="32">
        <v>350</v>
      </c>
      <c r="W115" s="32" t="s">
        <v>89</v>
      </c>
      <c r="X115" s="32" t="str">
        <f t="shared" si="6"/>
        <v>Printed Insert  14.5X7 CM</v>
      </c>
      <c r="Y115" s="31" t="s">
        <v>285</v>
      </c>
      <c r="Z115" s="32" t="str">
        <f t="shared" si="4"/>
        <v>Insert  14.5x7 CM Pollar Cutting 350 Art Card</v>
      </c>
      <c r="AA115" s="32" t="str">
        <f t="shared" si="5"/>
        <v>Printed  Hang Tag 75X55 CM</v>
      </c>
      <c r="AB115" s="32" t="s">
        <v>801</v>
      </c>
    </row>
    <row r="116" spans="2:28" x14ac:dyDescent="0.25">
      <c r="B116" s="31" t="s">
        <v>6</v>
      </c>
      <c r="D116" s="32">
        <v>2003</v>
      </c>
      <c r="E116" s="31" t="s">
        <v>6</v>
      </c>
      <c r="F116" s="32" t="s">
        <v>248</v>
      </c>
      <c r="G116" s="31" t="s">
        <v>249</v>
      </c>
      <c r="H116" s="33" t="s">
        <v>97</v>
      </c>
      <c r="I116" s="35" t="s">
        <v>112</v>
      </c>
      <c r="J116" s="32" t="s">
        <v>93</v>
      </c>
      <c r="K116" s="34">
        <v>5</v>
      </c>
      <c r="O116" s="34">
        <v>34.799999999999997</v>
      </c>
      <c r="P116" s="34">
        <v>25.8</v>
      </c>
      <c r="Q116" s="32" t="s">
        <v>94</v>
      </c>
      <c r="S116" s="34" t="s">
        <v>122</v>
      </c>
      <c r="T116" s="32" t="s">
        <v>119</v>
      </c>
      <c r="U116" s="32" t="s">
        <v>237</v>
      </c>
      <c r="V116" s="32">
        <v>350</v>
      </c>
      <c r="W116" s="32" t="s">
        <v>89</v>
      </c>
      <c r="X116" s="32" t="str">
        <f t="shared" si="6"/>
        <v>Printed Insert  34.8X25.8 CM</v>
      </c>
      <c r="Y116" s="31" t="s">
        <v>286</v>
      </c>
      <c r="Z116" s="32" t="str">
        <f t="shared" si="4"/>
        <v>Insert  34.8x25.8 CM Pollar Cutting 350 Art Card</v>
      </c>
      <c r="AA116" s="32" t="str">
        <f t="shared" si="5"/>
        <v>Printed  Hang Tag 28.5X16.5 CM</v>
      </c>
      <c r="AB116" s="32" t="s">
        <v>802</v>
      </c>
    </row>
    <row r="117" spans="2:28" x14ac:dyDescent="0.25">
      <c r="B117" s="31" t="s">
        <v>6</v>
      </c>
      <c r="D117" s="32">
        <v>2003</v>
      </c>
      <c r="E117" s="31" t="s">
        <v>6</v>
      </c>
      <c r="F117" s="32" t="s">
        <v>248</v>
      </c>
      <c r="G117" s="31" t="s">
        <v>249</v>
      </c>
      <c r="H117" s="31" t="s">
        <v>97</v>
      </c>
      <c r="I117" s="35" t="s">
        <v>175</v>
      </c>
      <c r="J117" s="32" t="s">
        <v>93</v>
      </c>
      <c r="K117" s="34">
        <v>5</v>
      </c>
      <c r="O117" s="34">
        <v>48</v>
      </c>
      <c r="P117" s="34">
        <v>9.5</v>
      </c>
      <c r="Q117" s="32" t="s">
        <v>94</v>
      </c>
      <c r="S117" s="34" t="s">
        <v>122</v>
      </c>
      <c r="T117" s="32" t="s">
        <v>119</v>
      </c>
      <c r="U117" s="32" t="s">
        <v>244</v>
      </c>
      <c r="V117" s="32">
        <v>300</v>
      </c>
      <c r="W117" s="32" t="s">
        <v>89</v>
      </c>
      <c r="X117" s="32" t="str">
        <f t="shared" si="6"/>
        <v>Printed Belly Band  48X9.5 CM</v>
      </c>
      <c r="Y117" s="31" t="s">
        <v>287</v>
      </c>
      <c r="Z117" s="32" t="str">
        <f t="shared" si="4"/>
        <v>Belly Band  48x9.5 CM Pollar Cutting 300 Duplex</v>
      </c>
      <c r="AA117" s="32" t="str">
        <f t="shared" si="5"/>
        <v>Printed  Carton Sticker  10X8 CM</v>
      </c>
      <c r="AB117" s="32" t="s">
        <v>803</v>
      </c>
    </row>
    <row r="118" spans="2:28" x14ac:dyDescent="0.25">
      <c r="B118" s="31" t="s">
        <v>6</v>
      </c>
      <c r="D118" s="32">
        <v>2003</v>
      </c>
      <c r="E118" s="31" t="s">
        <v>6</v>
      </c>
      <c r="F118" s="32" t="s">
        <v>248</v>
      </c>
      <c r="G118" s="31" t="s">
        <v>249</v>
      </c>
      <c r="H118" s="33" t="s">
        <v>97</v>
      </c>
      <c r="I118" s="31" t="s">
        <v>650</v>
      </c>
      <c r="J118" s="32" t="s">
        <v>93</v>
      </c>
      <c r="K118" s="34">
        <v>2</v>
      </c>
      <c r="O118" s="34">
        <v>13</v>
      </c>
      <c r="P118" s="34">
        <v>13</v>
      </c>
      <c r="Q118" s="32" t="s">
        <v>94</v>
      </c>
      <c r="S118" s="34"/>
      <c r="T118" s="32" t="s">
        <v>156</v>
      </c>
      <c r="U118" s="32" t="s">
        <v>240</v>
      </c>
      <c r="V118" s="32">
        <v>160</v>
      </c>
      <c r="W118" s="32" t="s">
        <v>89</v>
      </c>
      <c r="X118" s="32" t="str">
        <f t="shared" si="6"/>
        <v>Printed Insert (Front+Back) 13X13 CM</v>
      </c>
      <c r="Y118" s="31" t="s">
        <v>288</v>
      </c>
      <c r="Z118" s="32" t="str">
        <f t="shared" si="4"/>
        <v xml:space="preserve">Insert (Front+Back) 13x13 CM Die Cutting  160 Carft Paper </v>
      </c>
      <c r="AA118" s="32" t="str">
        <f t="shared" si="5"/>
        <v>Printed  Carton Sticker  16X12 CM</v>
      </c>
      <c r="AB118" s="32" t="s">
        <v>804</v>
      </c>
    </row>
    <row r="119" spans="2:28" x14ac:dyDescent="0.25">
      <c r="B119" s="31" t="s">
        <v>6</v>
      </c>
      <c r="D119" s="32">
        <v>2003</v>
      </c>
      <c r="E119" s="31" t="s">
        <v>6</v>
      </c>
      <c r="F119" s="32" t="s">
        <v>248</v>
      </c>
      <c r="G119" s="31" t="s">
        <v>249</v>
      </c>
      <c r="H119" s="33" t="s">
        <v>97</v>
      </c>
      <c r="I119" s="31" t="s">
        <v>33</v>
      </c>
      <c r="J119" s="32" t="s">
        <v>93</v>
      </c>
      <c r="K119" s="34">
        <v>1</v>
      </c>
      <c r="O119" s="34">
        <v>5</v>
      </c>
      <c r="P119" s="34">
        <v>3</v>
      </c>
      <c r="Q119" s="32" t="s">
        <v>94</v>
      </c>
      <c r="S119" s="34"/>
      <c r="T119" s="32" t="s">
        <v>119</v>
      </c>
      <c r="U119" s="32" t="s">
        <v>128</v>
      </c>
      <c r="V119" s="32">
        <v>80</v>
      </c>
      <c r="W119" s="32" t="s">
        <v>89</v>
      </c>
      <c r="X119" s="32" t="str">
        <f t="shared" si="6"/>
        <v>Printed Poly Sticker 5X3 CM</v>
      </c>
      <c r="Y119" s="31" t="s">
        <v>289</v>
      </c>
      <c r="Z119" s="32" t="str">
        <f t="shared" si="4"/>
        <v>Poly Sticker 5x3 CM Pollar Cutting 80 Glossy Sticker</v>
      </c>
      <c r="AA119" s="32" t="str">
        <f t="shared" si="5"/>
        <v>Printed  Sticker 16X12 CM</v>
      </c>
      <c r="AB119" s="32" t="s">
        <v>805</v>
      </c>
    </row>
    <row r="120" spans="2:28" x14ac:dyDescent="0.25">
      <c r="B120" s="31" t="s">
        <v>6</v>
      </c>
      <c r="D120" s="32">
        <v>2003</v>
      </c>
      <c r="E120" s="31" t="s">
        <v>6</v>
      </c>
      <c r="F120" s="32" t="s">
        <v>248</v>
      </c>
      <c r="G120" s="31" t="s">
        <v>249</v>
      </c>
      <c r="H120" s="33" t="s">
        <v>140</v>
      </c>
      <c r="I120" s="35" t="s">
        <v>112</v>
      </c>
      <c r="J120" s="32" t="s">
        <v>93</v>
      </c>
      <c r="K120" s="34">
        <v>6</v>
      </c>
      <c r="O120" s="34">
        <v>15</v>
      </c>
      <c r="P120" s="34">
        <v>15</v>
      </c>
      <c r="Q120" s="32" t="s">
        <v>94</v>
      </c>
      <c r="S120" s="34"/>
      <c r="T120" s="32" t="s">
        <v>156</v>
      </c>
      <c r="U120" s="32" t="s">
        <v>240</v>
      </c>
      <c r="V120" s="32">
        <v>160</v>
      </c>
      <c r="W120" s="32" t="s">
        <v>89</v>
      </c>
      <c r="X120" s="32" t="str">
        <f t="shared" si="6"/>
        <v>Printed Insert  15X15 CM</v>
      </c>
      <c r="Y120" s="31" t="s">
        <v>290</v>
      </c>
      <c r="Z120" s="32" t="str">
        <f t="shared" si="4"/>
        <v xml:space="preserve">Insert  15x15 CM Die Cutting  160 Carft Paper </v>
      </c>
      <c r="AA120" s="32" t="str">
        <f t="shared" si="5"/>
        <v>Printed  Sticker 10X8 CM</v>
      </c>
      <c r="AB120" s="32" t="s">
        <v>806</v>
      </c>
    </row>
    <row r="121" spans="2:28" x14ac:dyDescent="0.25">
      <c r="B121" s="31" t="s">
        <v>6</v>
      </c>
      <c r="D121" s="32">
        <v>2003</v>
      </c>
      <c r="E121" s="31" t="s">
        <v>6</v>
      </c>
      <c r="F121" s="32" t="s">
        <v>248</v>
      </c>
      <c r="G121" s="31" t="s">
        <v>249</v>
      </c>
      <c r="H121" s="31" t="s">
        <v>97</v>
      </c>
      <c r="I121" s="31" t="s">
        <v>155</v>
      </c>
      <c r="J121" s="32" t="s">
        <v>93</v>
      </c>
      <c r="K121" s="34">
        <v>1</v>
      </c>
      <c r="O121" s="34">
        <v>10.5</v>
      </c>
      <c r="P121" s="34">
        <v>2.5</v>
      </c>
      <c r="Q121" s="32" t="s">
        <v>94</v>
      </c>
      <c r="S121" s="34"/>
      <c r="T121" s="32" t="s">
        <v>156</v>
      </c>
      <c r="U121" s="32" t="s">
        <v>141</v>
      </c>
      <c r="V121" s="32">
        <v>300</v>
      </c>
      <c r="W121" s="32" t="s">
        <v>89</v>
      </c>
      <c r="X121" s="32" t="str">
        <f t="shared" si="6"/>
        <v>Printed Hang Tag 10.5X2.5 CM</v>
      </c>
      <c r="Y121" s="31" t="s">
        <v>291</v>
      </c>
      <c r="Z121" s="32" t="str">
        <f t="shared" si="4"/>
        <v>Hang Tag 10.5x2.5 CM Die Cutting  300 Solid Card</v>
      </c>
      <c r="AA121" s="32" t="str">
        <f t="shared" si="5"/>
        <v>Printed  Hang Tag 6X4 CM</v>
      </c>
      <c r="AB121" s="32" t="s">
        <v>807</v>
      </c>
    </row>
    <row r="122" spans="2:28" x14ac:dyDescent="0.25">
      <c r="B122" s="31" t="s">
        <v>6</v>
      </c>
      <c r="D122" s="32">
        <v>2003</v>
      </c>
      <c r="E122" s="31" t="s">
        <v>6</v>
      </c>
      <c r="F122" s="32" t="s">
        <v>248</v>
      </c>
      <c r="G122" s="31" t="s">
        <v>249</v>
      </c>
      <c r="H122" s="33" t="s">
        <v>97</v>
      </c>
      <c r="I122" s="31" t="s">
        <v>155</v>
      </c>
      <c r="J122" s="32" t="s">
        <v>93</v>
      </c>
      <c r="K122" s="34">
        <v>1</v>
      </c>
      <c r="N122" s="32">
        <v>5</v>
      </c>
      <c r="O122" s="34">
        <v>5</v>
      </c>
      <c r="P122" s="34">
        <v>5</v>
      </c>
      <c r="Q122" s="32" t="s">
        <v>94</v>
      </c>
      <c r="S122" s="34" t="s">
        <v>122</v>
      </c>
      <c r="T122" s="32" t="s">
        <v>156</v>
      </c>
      <c r="U122" s="32" t="s">
        <v>237</v>
      </c>
      <c r="V122" s="32">
        <v>300</v>
      </c>
      <c r="W122" s="32" t="s">
        <v>89</v>
      </c>
      <c r="X122" s="32" t="str">
        <f t="shared" si="6"/>
        <v>Printed Hang Tag 5X5 CM</v>
      </c>
      <c r="Y122" s="31" t="s">
        <v>292</v>
      </c>
      <c r="Z122" s="32" t="str">
        <f t="shared" si="4"/>
        <v>Hang Tag 5x5 CM Die Cutting  300 Art Card</v>
      </c>
      <c r="AA122" s="32" t="str">
        <f t="shared" si="5"/>
        <v>Printed  Hang Tag 115X65 CM</v>
      </c>
      <c r="AB122" s="32" t="s">
        <v>808</v>
      </c>
    </row>
    <row r="123" spans="2:28" x14ac:dyDescent="0.25">
      <c r="B123" s="31" t="s">
        <v>6</v>
      </c>
      <c r="D123" s="32">
        <v>2003</v>
      </c>
      <c r="E123" s="31" t="s">
        <v>6</v>
      </c>
      <c r="F123" s="32" t="s">
        <v>248</v>
      </c>
      <c r="G123" s="31" t="s">
        <v>249</v>
      </c>
      <c r="H123" s="40" t="s">
        <v>97</v>
      </c>
      <c r="I123" s="31" t="s">
        <v>155</v>
      </c>
      <c r="J123" s="32" t="s">
        <v>93</v>
      </c>
      <c r="K123" s="34">
        <v>1</v>
      </c>
      <c r="O123" s="34">
        <v>75</v>
      </c>
      <c r="P123" s="34">
        <v>55</v>
      </c>
      <c r="Q123" s="32" t="s">
        <v>94</v>
      </c>
      <c r="S123" s="34"/>
      <c r="T123" s="32" t="s">
        <v>156</v>
      </c>
      <c r="U123" s="32" t="s">
        <v>237</v>
      </c>
      <c r="V123" s="32">
        <v>300</v>
      </c>
      <c r="W123" s="32" t="s">
        <v>89</v>
      </c>
      <c r="X123" s="32" t="str">
        <f t="shared" si="6"/>
        <v>Printed Hang Tag 75X55 CM</v>
      </c>
      <c r="Y123" s="39" t="s">
        <v>293</v>
      </c>
      <c r="Z123" s="32" t="str">
        <f t="shared" si="4"/>
        <v>Hang Tag 75x55 CM Die Cutting  300 Art Card</v>
      </c>
      <c r="AA123" s="32" t="str">
        <f t="shared" si="5"/>
        <v>Printed  Sticker 55X55 CM</v>
      </c>
      <c r="AB123" s="32" t="s">
        <v>809</v>
      </c>
    </row>
    <row r="124" spans="2:28" x14ac:dyDescent="0.25">
      <c r="B124" s="31" t="s">
        <v>6</v>
      </c>
      <c r="D124" s="32">
        <v>2003</v>
      </c>
      <c r="E124" s="31" t="s">
        <v>6</v>
      </c>
      <c r="F124" s="32" t="s">
        <v>248</v>
      </c>
      <c r="G124" s="31" t="s">
        <v>249</v>
      </c>
      <c r="H124" s="40" t="s">
        <v>97</v>
      </c>
      <c r="I124" s="31" t="s">
        <v>155</v>
      </c>
      <c r="J124" s="32" t="s">
        <v>93</v>
      </c>
      <c r="K124" s="34">
        <v>2</v>
      </c>
      <c r="O124" s="34">
        <v>28.5</v>
      </c>
      <c r="P124" s="34">
        <v>16.5</v>
      </c>
      <c r="Q124" s="32" t="s">
        <v>94</v>
      </c>
      <c r="S124" s="34"/>
      <c r="T124" s="32" t="s">
        <v>119</v>
      </c>
      <c r="U124" s="32" t="s">
        <v>128</v>
      </c>
      <c r="V124" s="32">
        <v>80</v>
      </c>
      <c r="W124" s="32" t="s">
        <v>89</v>
      </c>
      <c r="X124" s="32" t="str">
        <f t="shared" si="6"/>
        <v>Printed Hang Tag 28.5X16.5 CM</v>
      </c>
      <c r="Y124" s="39" t="s">
        <v>294</v>
      </c>
      <c r="Z124" s="32" t="str">
        <f t="shared" si="4"/>
        <v>Hang Tag 28.5x16.5 CM Pollar Cutting 80 Glossy Sticker</v>
      </c>
      <c r="AA124" s="32" t="str">
        <f t="shared" si="5"/>
        <v>Printed  Safety First Sticker 70X17 CM</v>
      </c>
      <c r="AB124" s="32" t="s">
        <v>810</v>
      </c>
    </row>
    <row r="125" spans="2:28" x14ac:dyDescent="0.25">
      <c r="B125" s="31" t="s">
        <v>6</v>
      </c>
      <c r="D125" s="32">
        <v>2003</v>
      </c>
      <c r="E125" s="31" t="s">
        <v>6</v>
      </c>
      <c r="F125" s="32" t="s">
        <v>248</v>
      </c>
      <c r="G125" s="31" t="s">
        <v>249</v>
      </c>
      <c r="H125" s="39" t="s">
        <v>97</v>
      </c>
      <c r="I125" s="31" t="s">
        <v>137</v>
      </c>
      <c r="J125" s="32" t="s">
        <v>93</v>
      </c>
      <c r="K125" s="34">
        <v>1</v>
      </c>
      <c r="O125" s="34">
        <v>10</v>
      </c>
      <c r="P125" s="34">
        <v>8</v>
      </c>
      <c r="Q125" s="32" t="s">
        <v>94</v>
      </c>
      <c r="S125" s="34"/>
      <c r="T125" s="32" t="s">
        <v>119</v>
      </c>
      <c r="U125" s="32" t="s">
        <v>128</v>
      </c>
      <c r="V125" s="32">
        <v>80</v>
      </c>
      <c r="W125" s="32" t="s">
        <v>89</v>
      </c>
      <c r="X125" s="32" t="str">
        <f t="shared" si="6"/>
        <v>Printed Carton Sticker  10X8 CM</v>
      </c>
      <c r="Y125" s="39" t="s">
        <v>295</v>
      </c>
      <c r="Z125" s="32" t="str">
        <f t="shared" si="4"/>
        <v>Carton Sticker  10x8 CM Pollar Cutting 80 Glossy Sticker</v>
      </c>
      <c r="AA125" s="32" t="str">
        <f t="shared" si="5"/>
        <v>Printed  Safety First Sticker 10X6 CM</v>
      </c>
      <c r="AB125" s="32" t="s">
        <v>811</v>
      </c>
    </row>
    <row r="126" spans="2:28" x14ac:dyDescent="0.25">
      <c r="B126" s="31" t="s">
        <v>6</v>
      </c>
      <c r="D126" s="32">
        <v>2003</v>
      </c>
      <c r="E126" s="31" t="s">
        <v>6</v>
      </c>
      <c r="F126" s="32" t="s">
        <v>248</v>
      </c>
      <c r="G126" s="31" t="s">
        <v>249</v>
      </c>
      <c r="H126" s="39" t="s">
        <v>97</v>
      </c>
      <c r="I126" s="31" t="s">
        <v>137</v>
      </c>
      <c r="J126" s="32" t="s">
        <v>93</v>
      </c>
      <c r="K126" s="34">
        <v>1</v>
      </c>
      <c r="O126" s="34">
        <v>16</v>
      </c>
      <c r="P126" s="34">
        <v>12</v>
      </c>
      <c r="Q126" s="32" t="s">
        <v>94</v>
      </c>
      <c r="S126" s="34"/>
      <c r="T126" s="32" t="s">
        <v>119</v>
      </c>
      <c r="U126" s="32" t="s">
        <v>128</v>
      </c>
      <c r="V126" s="32">
        <v>80</v>
      </c>
      <c r="W126" s="32" t="s">
        <v>89</v>
      </c>
      <c r="X126" s="32" t="str">
        <f t="shared" si="6"/>
        <v>Printed Carton Sticker  16X12 CM</v>
      </c>
      <c r="Y126" s="39" t="s">
        <v>296</v>
      </c>
      <c r="Z126" s="32" t="str">
        <f t="shared" si="4"/>
        <v>Carton Sticker  16x12 CM Pollar Cutting 80 Glossy Sticker</v>
      </c>
      <c r="AA126" s="32" t="str">
        <f t="shared" si="5"/>
        <v>Printed  Insert Belly Band  30X16 Inch</v>
      </c>
      <c r="AB126" s="32" t="s">
        <v>812</v>
      </c>
    </row>
    <row r="127" spans="2:28" x14ac:dyDescent="0.25">
      <c r="B127" s="31" t="s">
        <v>6</v>
      </c>
      <c r="D127" s="32">
        <v>2003</v>
      </c>
      <c r="E127" s="31" t="s">
        <v>6</v>
      </c>
      <c r="F127" s="32" t="s">
        <v>248</v>
      </c>
      <c r="G127" s="31" t="s">
        <v>249</v>
      </c>
      <c r="H127" s="33" t="s">
        <v>97</v>
      </c>
      <c r="I127" s="35" t="s">
        <v>102</v>
      </c>
      <c r="J127" s="32" t="s">
        <v>93</v>
      </c>
      <c r="K127" s="34">
        <v>1</v>
      </c>
      <c r="O127" s="34">
        <v>16</v>
      </c>
      <c r="P127" s="34">
        <v>12</v>
      </c>
      <c r="Q127" s="32" t="s">
        <v>94</v>
      </c>
      <c r="S127" s="34"/>
      <c r="T127" s="32" t="s">
        <v>119</v>
      </c>
      <c r="U127" s="32" t="s">
        <v>128</v>
      </c>
      <c r="V127" s="32">
        <v>80</v>
      </c>
      <c r="W127" s="32" t="s">
        <v>89</v>
      </c>
      <c r="X127" s="32" t="str">
        <f t="shared" si="6"/>
        <v>Printed Sticker 16X12 CM</v>
      </c>
      <c r="Y127" s="31" t="s">
        <v>297</v>
      </c>
      <c r="Z127" s="32" t="str">
        <f t="shared" si="4"/>
        <v>Sticker 16x12 CM Pollar Cutting 80 Glossy Sticker</v>
      </c>
      <c r="AA127" s="32" t="str">
        <f t="shared" si="5"/>
        <v>Printed  Insert Baner 34X3.75 Inch</v>
      </c>
      <c r="AB127" s="32" t="s">
        <v>813</v>
      </c>
    </row>
    <row r="128" spans="2:28" x14ac:dyDescent="0.25">
      <c r="B128" s="31" t="s">
        <v>6</v>
      </c>
      <c r="D128" s="32">
        <v>2003</v>
      </c>
      <c r="E128" s="31" t="s">
        <v>6</v>
      </c>
      <c r="F128" s="32" t="s">
        <v>248</v>
      </c>
      <c r="G128" s="31" t="s">
        <v>249</v>
      </c>
      <c r="H128" s="33" t="s">
        <v>97</v>
      </c>
      <c r="I128" s="35" t="s">
        <v>102</v>
      </c>
      <c r="J128" s="32" t="s">
        <v>93</v>
      </c>
      <c r="K128" s="34">
        <v>1</v>
      </c>
      <c r="O128" s="34">
        <v>10</v>
      </c>
      <c r="P128" s="34">
        <v>8</v>
      </c>
      <c r="Q128" s="32" t="s">
        <v>94</v>
      </c>
      <c r="S128" s="34"/>
      <c r="T128" s="32" t="s">
        <v>119</v>
      </c>
      <c r="U128" s="32" t="s">
        <v>128</v>
      </c>
      <c r="V128" s="32">
        <v>80</v>
      </c>
      <c r="W128" s="32" t="s">
        <v>89</v>
      </c>
      <c r="X128" s="32" t="str">
        <f t="shared" si="6"/>
        <v>Printed Sticker 10X8 CM</v>
      </c>
      <c r="Y128" s="31" t="s">
        <v>298</v>
      </c>
      <c r="Z128" s="32" t="str">
        <f t="shared" si="4"/>
        <v>Sticker 10x8 CM Pollar Cutting 80 Glossy Sticker</v>
      </c>
      <c r="AA128" s="32" t="str">
        <f t="shared" si="5"/>
        <v>Printed  Insert Belly Band  22X8.5 Inch</v>
      </c>
      <c r="AB128" s="32" t="s">
        <v>814</v>
      </c>
    </row>
    <row r="129" spans="2:28" x14ac:dyDescent="0.25">
      <c r="B129" s="31" t="s">
        <v>6</v>
      </c>
      <c r="D129" s="32">
        <v>2003</v>
      </c>
      <c r="E129" s="31" t="s">
        <v>6</v>
      </c>
      <c r="F129" s="32" t="s">
        <v>248</v>
      </c>
      <c r="G129" s="31" t="s">
        <v>249</v>
      </c>
      <c r="H129" s="31" t="s">
        <v>97</v>
      </c>
      <c r="I129" s="31" t="s">
        <v>155</v>
      </c>
      <c r="J129" s="32" t="s">
        <v>93</v>
      </c>
      <c r="K129" s="34">
        <v>1</v>
      </c>
      <c r="O129" s="34">
        <v>6</v>
      </c>
      <c r="P129" s="34">
        <v>4</v>
      </c>
      <c r="Q129" s="32" t="s">
        <v>94</v>
      </c>
      <c r="R129" s="32" t="s">
        <v>122</v>
      </c>
      <c r="S129" s="34"/>
      <c r="T129" s="32" t="s">
        <v>119</v>
      </c>
      <c r="U129" s="32" t="s">
        <v>128</v>
      </c>
      <c r="V129" s="32">
        <v>80</v>
      </c>
      <c r="W129" s="32" t="s">
        <v>89</v>
      </c>
      <c r="X129" s="32" t="str">
        <f t="shared" ref="X129:X184" si="7">CONCATENATE(J129," ",I129," ",O129,"X",P129," ",Q129)</f>
        <v>Printed Hang Tag 6X4 CM</v>
      </c>
      <c r="Y129" s="31" t="s">
        <v>299</v>
      </c>
      <c r="Z129" s="32" t="str">
        <f t="shared" si="4"/>
        <v>Hang Tag 6x4 CM Pollar Cutting 80 Glossy Sticker</v>
      </c>
      <c r="AA129" s="32" t="str">
        <f t="shared" si="5"/>
        <v>Printed Glossy  Insert Belly Band  21X8.5 Inch</v>
      </c>
      <c r="AB129" s="32" t="s">
        <v>815</v>
      </c>
    </row>
    <row r="130" spans="2:28" x14ac:dyDescent="0.25">
      <c r="B130" s="31" t="s">
        <v>6</v>
      </c>
      <c r="D130" s="32">
        <v>2003</v>
      </c>
      <c r="E130" s="31" t="s">
        <v>6</v>
      </c>
      <c r="F130" s="32" t="s">
        <v>248</v>
      </c>
      <c r="G130" s="31" t="s">
        <v>249</v>
      </c>
      <c r="H130" s="33" t="s">
        <v>97</v>
      </c>
      <c r="I130" s="31" t="s">
        <v>155</v>
      </c>
      <c r="J130" s="32" t="s">
        <v>93</v>
      </c>
      <c r="K130" s="34" t="s">
        <v>245</v>
      </c>
      <c r="O130" s="34">
        <v>115</v>
      </c>
      <c r="P130" s="34">
        <v>65</v>
      </c>
      <c r="Q130" s="32" t="s">
        <v>94</v>
      </c>
      <c r="S130" s="34"/>
      <c r="T130" s="32" t="s">
        <v>119</v>
      </c>
      <c r="U130" s="32" t="s">
        <v>246</v>
      </c>
      <c r="V130" s="32">
        <v>300</v>
      </c>
      <c r="W130" s="32" t="s">
        <v>89</v>
      </c>
      <c r="X130" s="32" t="str">
        <f t="shared" si="7"/>
        <v>Printed Hang Tag 115X65 CM</v>
      </c>
      <c r="Y130" s="31" t="s">
        <v>300</v>
      </c>
      <c r="Z130" s="32" t="str">
        <f t="shared" si="4"/>
        <v>Hang Tag 115x65 CM Pollar Cutting 300 art Card</v>
      </c>
      <c r="AA130" s="32" t="str">
        <f t="shared" si="5"/>
        <v>Printed  Insert Belly Band  25X6.75 CM</v>
      </c>
      <c r="AB130" s="32" t="s">
        <v>816</v>
      </c>
    </row>
    <row r="131" spans="2:28" x14ac:dyDescent="0.25">
      <c r="B131" s="31" t="s">
        <v>6</v>
      </c>
      <c r="D131" s="32">
        <v>2003</v>
      </c>
      <c r="E131" s="31" t="s">
        <v>6</v>
      </c>
      <c r="F131" s="32" t="s">
        <v>248</v>
      </c>
      <c r="G131" s="31" t="s">
        <v>249</v>
      </c>
      <c r="H131" s="33" t="s">
        <v>97</v>
      </c>
      <c r="I131" s="31" t="s">
        <v>102</v>
      </c>
      <c r="J131" s="32" t="s">
        <v>93</v>
      </c>
      <c r="K131" s="34">
        <v>3</v>
      </c>
      <c r="O131" s="34">
        <v>55</v>
      </c>
      <c r="P131" s="34">
        <v>55</v>
      </c>
      <c r="Q131" s="32" t="s">
        <v>94</v>
      </c>
      <c r="R131" s="34" t="s">
        <v>122</v>
      </c>
      <c r="S131" s="34"/>
      <c r="T131" s="32" t="s">
        <v>119</v>
      </c>
      <c r="U131" s="32" t="s">
        <v>128</v>
      </c>
      <c r="V131" s="32">
        <v>80</v>
      </c>
      <c r="W131" s="32" t="s">
        <v>89</v>
      </c>
      <c r="X131" s="32" t="str">
        <f t="shared" si="7"/>
        <v>Printed Sticker 55X55 CM</v>
      </c>
      <c r="Y131" s="31" t="s">
        <v>301</v>
      </c>
      <c r="Z131" s="32" t="str">
        <f t="shared" ref="Z131:Z194" si="8">CONCATENATE(I131," ",O131,"x",P131," ",Q131," ",T131," ",V131," ",U131)</f>
        <v>Sticker 55x55 CM Pollar Cutting 80 Glossy Sticker</v>
      </c>
      <c r="AA131" s="32" t="str">
        <f t="shared" ref="AA131:AA194" si="9">CONCATENATE(J139," ",R131," ",I139," ",O139,"X",P139," ",Q139)</f>
        <v>Printed Glossy  Hang Tag 55X55 CM</v>
      </c>
      <c r="AB131" s="32" t="s">
        <v>817</v>
      </c>
    </row>
    <row r="132" spans="2:28" x14ac:dyDescent="0.25">
      <c r="B132" s="31" t="s">
        <v>6</v>
      </c>
      <c r="D132" s="32">
        <v>2003</v>
      </c>
      <c r="E132" s="31" t="s">
        <v>6</v>
      </c>
      <c r="F132" s="32" t="s">
        <v>248</v>
      </c>
      <c r="G132" s="31" t="s">
        <v>249</v>
      </c>
      <c r="H132" s="31" t="s">
        <v>97</v>
      </c>
      <c r="I132" s="32" t="s">
        <v>663</v>
      </c>
      <c r="J132" s="32" t="s">
        <v>93</v>
      </c>
      <c r="K132" s="34">
        <v>1</v>
      </c>
      <c r="O132" s="34">
        <v>70</v>
      </c>
      <c r="P132" s="34">
        <v>17</v>
      </c>
      <c r="Q132" s="32" t="s">
        <v>94</v>
      </c>
      <c r="S132" s="34"/>
      <c r="T132" s="32" t="s">
        <v>119</v>
      </c>
      <c r="U132" s="32" t="s">
        <v>128</v>
      </c>
      <c r="V132" s="32">
        <v>80</v>
      </c>
      <c r="W132" s="32" t="s">
        <v>89</v>
      </c>
      <c r="X132" s="32" t="str">
        <f t="shared" si="7"/>
        <v>Printed Safety First Sticker 70X17 CM</v>
      </c>
      <c r="Y132" s="31" t="s">
        <v>302</v>
      </c>
      <c r="Z132" s="32" t="str">
        <f t="shared" si="8"/>
        <v>Safety First Sticker 70x17 CM Pollar Cutting 80 Glossy Sticker</v>
      </c>
      <c r="AA132" s="32" t="str">
        <f t="shared" si="9"/>
        <v>Printed  Carton Sticker 8X3 CM</v>
      </c>
      <c r="AB132" s="32" t="s">
        <v>818</v>
      </c>
    </row>
    <row r="133" spans="2:28" x14ac:dyDescent="0.25">
      <c r="B133" s="31" t="s">
        <v>6</v>
      </c>
      <c r="D133" s="32">
        <v>2003</v>
      </c>
      <c r="E133" s="31" t="s">
        <v>6</v>
      </c>
      <c r="F133" s="32" t="s">
        <v>248</v>
      </c>
      <c r="G133" s="31" t="s">
        <v>249</v>
      </c>
      <c r="H133" s="33" t="s">
        <v>97</v>
      </c>
      <c r="I133" s="32" t="s">
        <v>663</v>
      </c>
      <c r="J133" s="32" t="s">
        <v>93</v>
      </c>
      <c r="K133" s="34">
        <v>1</v>
      </c>
      <c r="O133" s="34">
        <v>10</v>
      </c>
      <c r="P133" s="34">
        <v>6</v>
      </c>
      <c r="Q133" s="32" t="s">
        <v>94</v>
      </c>
      <c r="S133" s="34"/>
      <c r="T133" s="32" t="s">
        <v>119</v>
      </c>
      <c r="U133" s="34" t="s">
        <v>243</v>
      </c>
      <c r="V133" s="32">
        <v>80</v>
      </c>
      <c r="W133" s="32" t="s">
        <v>89</v>
      </c>
      <c r="X133" s="32" t="str">
        <f t="shared" si="7"/>
        <v>Printed Safety First Sticker 10X6 CM</v>
      </c>
      <c r="Y133" s="31" t="s">
        <v>304</v>
      </c>
      <c r="Z133" s="32" t="str">
        <f t="shared" si="8"/>
        <v>Safety First Sticker 10x6 CM Pollar Cutting 80 Transparency Sticker</v>
      </c>
      <c r="AA133" s="32" t="str">
        <f t="shared" si="9"/>
        <v>Printed  Insert  16X12 CM</v>
      </c>
      <c r="AB133" s="32" t="s">
        <v>819</v>
      </c>
    </row>
    <row r="134" spans="2:28" x14ac:dyDescent="0.25">
      <c r="B134" s="31" t="s">
        <v>6</v>
      </c>
      <c r="D134" s="32">
        <v>2003</v>
      </c>
      <c r="E134" s="31" t="s">
        <v>6</v>
      </c>
      <c r="F134" s="32" t="s">
        <v>248</v>
      </c>
      <c r="G134" s="31" t="s">
        <v>249</v>
      </c>
      <c r="H134" s="33" t="s">
        <v>97</v>
      </c>
      <c r="I134" s="31" t="s">
        <v>247</v>
      </c>
      <c r="J134" s="32" t="s">
        <v>93</v>
      </c>
      <c r="K134" s="34">
        <v>3</v>
      </c>
      <c r="O134" s="34">
        <v>30</v>
      </c>
      <c r="P134" s="34">
        <v>16</v>
      </c>
      <c r="Q134" s="32" t="s">
        <v>95</v>
      </c>
      <c r="S134" s="34" t="s">
        <v>166</v>
      </c>
      <c r="T134" s="32" t="s">
        <v>156</v>
      </c>
      <c r="U134" s="32" t="s">
        <v>110</v>
      </c>
      <c r="V134" s="32">
        <v>350</v>
      </c>
      <c r="W134" s="32" t="s">
        <v>89</v>
      </c>
      <c r="X134" s="32" t="str">
        <f t="shared" si="7"/>
        <v>Printed Insert Belly Band  30X16 Inch</v>
      </c>
      <c r="Y134" s="31" t="s">
        <v>306</v>
      </c>
      <c r="Z134" s="32" t="str">
        <f t="shared" si="8"/>
        <v>Insert Belly Band  30x16 Inch Die Cutting  350 Swedish Board</v>
      </c>
      <c r="AA134" s="32" t="str">
        <f t="shared" si="9"/>
        <v>Printed  Shipping Mark 13.5X9.5 CM</v>
      </c>
      <c r="AB134" s="32" t="s">
        <v>820</v>
      </c>
    </row>
    <row r="135" spans="2:28" x14ac:dyDescent="0.25">
      <c r="B135" s="31" t="s">
        <v>6</v>
      </c>
      <c r="D135" s="32">
        <v>2003</v>
      </c>
      <c r="E135" s="31" t="s">
        <v>6</v>
      </c>
      <c r="F135" s="32" t="s">
        <v>248</v>
      </c>
      <c r="G135" s="31" t="s">
        <v>249</v>
      </c>
      <c r="H135" s="33" t="s">
        <v>97</v>
      </c>
      <c r="I135" s="31" t="s">
        <v>310</v>
      </c>
      <c r="J135" s="32" t="s">
        <v>93</v>
      </c>
      <c r="K135" s="34">
        <v>6</v>
      </c>
      <c r="N135" s="32">
        <v>34</v>
      </c>
      <c r="O135" s="34">
        <v>34</v>
      </c>
      <c r="P135" s="34">
        <v>3.75</v>
      </c>
      <c r="Q135" s="32" t="s">
        <v>95</v>
      </c>
      <c r="S135" s="34" t="s">
        <v>122</v>
      </c>
      <c r="T135" s="32" t="s">
        <v>156</v>
      </c>
      <c r="U135" s="32" t="s">
        <v>110</v>
      </c>
      <c r="V135" s="32">
        <v>350</v>
      </c>
      <c r="W135" s="32" t="s">
        <v>89</v>
      </c>
      <c r="X135" s="32" t="str">
        <f t="shared" si="7"/>
        <v>Printed Insert Baner 34X3.75 Inch</v>
      </c>
      <c r="Y135" s="31" t="s">
        <v>307</v>
      </c>
      <c r="Z135" s="32" t="str">
        <f t="shared" si="8"/>
        <v>Insert Baner 34x3.75 Inch Die Cutting  350 Swedish Board</v>
      </c>
      <c r="AA135" s="32" t="str">
        <f t="shared" si="9"/>
        <v>Printed  Insert  40X35 CM</v>
      </c>
      <c r="AB135" s="32" t="s">
        <v>821</v>
      </c>
    </row>
    <row r="136" spans="2:28" x14ac:dyDescent="0.25">
      <c r="B136" s="31" t="s">
        <v>6</v>
      </c>
      <c r="D136" s="32">
        <v>2003</v>
      </c>
      <c r="E136" s="31" t="s">
        <v>6</v>
      </c>
      <c r="F136" s="32" t="s">
        <v>248</v>
      </c>
      <c r="G136" s="31" t="s">
        <v>249</v>
      </c>
      <c r="H136" s="33" t="s">
        <v>97</v>
      </c>
      <c r="I136" s="31" t="s">
        <v>247</v>
      </c>
      <c r="J136" s="32" t="s">
        <v>93</v>
      </c>
      <c r="K136" s="34">
        <v>4</v>
      </c>
      <c r="N136" s="32">
        <v>22</v>
      </c>
      <c r="O136" s="34">
        <v>22</v>
      </c>
      <c r="P136" s="34">
        <v>8.5</v>
      </c>
      <c r="Q136" s="32" t="s">
        <v>95</v>
      </c>
      <c r="S136" s="34" t="s">
        <v>166</v>
      </c>
      <c r="T136" s="32" t="s">
        <v>156</v>
      </c>
      <c r="U136" s="32" t="s">
        <v>110</v>
      </c>
      <c r="V136" s="32">
        <v>300</v>
      </c>
      <c r="W136" s="32" t="s">
        <v>89</v>
      </c>
      <c r="X136" s="32" t="str">
        <f t="shared" si="7"/>
        <v>Printed Insert Belly Band  22X8.5 Inch</v>
      </c>
      <c r="Y136" s="31" t="s">
        <v>308</v>
      </c>
      <c r="Z136" s="32" t="str">
        <f t="shared" si="8"/>
        <v>Insert Belly Band  22x8.5 Inch Die Cutting  300 Swedish Board</v>
      </c>
      <c r="AA136" s="32" t="str">
        <f t="shared" si="9"/>
        <v>Printed  Insert  25.2X17.6 CM</v>
      </c>
      <c r="AB136" s="32" t="s">
        <v>822</v>
      </c>
    </row>
    <row r="137" spans="2:28" x14ac:dyDescent="0.25">
      <c r="B137" s="31" t="s">
        <v>6</v>
      </c>
      <c r="D137" s="32">
        <v>2003</v>
      </c>
      <c r="E137" s="31" t="s">
        <v>6</v>
      </c>
      <c r="F137" s="32" t="s">
        <v>248</v>
      </c>
      <c r="G137" s="31" t="s">
        <v>249</v>
      </c>
      <c r="H137" s="33" t="s">
        <v>97</v>
      </c>
      <c r="I137" s="31" t="s">
        <v>247</v>
      </c>
      <c r="J137" s="32" t="s">
        <v>93</v>
      </c>
      <c r="K137" s="34">
        <v>4</v>
      </c>
      <c r="O137" s="34">
        <v>21</v>
      </c>
      <c r="P137" s="34">
        <v>8.5</v>
      </c>
      <c r="Q137" s="32" t="s">
        <v>95</v>
      </c>
      <c r="S137" s="34" t="s">
        <v>166</v>
      </c>
      <c r="T137" s="32" t="s">
        <v>156</v>
      </c>
      <c r="U137" s="32" t="s">
        <v>110</v>
      </c>
      <c r="V137" s="32">
        <v>300</v>
      </c>
      <c r="W137" s="32" t="s">
        <v>89</v>
      </c>
      <c r="X137" s="32" t="str">
        <f t="shared" si="7"/>
        <v>Printed Insert Belly Band  21X8.5 Inch</v>
      </c>
      <c r="Y137" s="31" t="s">
        <v>309</v>
      </c>
      <c r="Z137" s="32" t="str">
        <f t="shared" si="8"/>
        <v>Insert Belly Band  21x8.5 Inch Die Cutting  300 Swedish Board</v>
      </c>
      <c r="AA137" s="32" t="str">
        <f t="shared" si="9"/>
        <v>Printed  Insert Baner 62X15 CM</v>
      </c>
      <c r="AB137" s="32" t="s">
        <v>823</v>
      </c>
    </row>
    <row r="138" spans="2:28" x14ac:dyDescent="0.25">
      <c r="B138" s="31" t="s">
        <v>6</v>
      </c>
      <c r="D138" s="32">
        <v>2003</v>
      </c>
      <c r="E138" s="31" t="s">
        <v>6</v>
      </c>
      <c r="F138" s="32" t="s">
        <v>248</v>
      </c>
      <c r="G138" s="31" t="s">
        <v>249</v>
      </c>
      <c r="H138" s="32" t="s">
        <v>97</v>
      </c>
      <c r="I138" s="31" t="s">
        <v>247</v>
      </c>
      <c r="J138" s="32" t="s">
        <v>93</v>
      </c>
      <c r="K138" s="34">
        <v>5</v>
      </c>
      <c r="O138" s="34">
        <v>25</v>
      </c>
      <c r="P138" s="34">
        <v>6.75</v>
      </c>
      <c r="Q138" s="32" t="s">
        <v>94</v>
      </c>
      <c r="R138" s="34"/>
      <c r="S138" s="32" t="s">
        <v>122</v>
      </c>
      <c r="T138" s="32" t="s">
        <v>119</v>
      </c>
      <c r="U138" s="32" t="s">
        <v>110</v>
      </c>
      <c r="V138" s="32">
        <v>300</v>
      </c>
      <c r="W138" s="32" t="s">
        <v>89</v>
      </c>
      <c r="X138" s="32" t="str">
        <f t="shared" si="7"/>
        <v>Printed Insert Belly Band  25X6.75 CM</v>
      </c>
      <c r="Y138" s="31" t="s">
        <v>317</v>
      </c>
      <c r="Z138" s="32" t="str">
        <f t="shared" si="8"/>
        <v>Insert Belly Band  25x6.75 CM Pollar Cutting 300 Swedish Board</v>
      </c>
      <c r="AA138" s="32" t="str">
        <f t="shared" si="9"/>
        <v>Printed  Invercote Paper Band Roll 28X11 INCH</v>
      </c>
      <c r="AB138" s="32" t="s">
        <v>824</v>
      </c>
    </row>
    <row r="139" spans="2:28" x14ac:dyDescent="0.25">
      <c r="B139" s="31" t="s">
        <v>6</v>
      </c>
      <c r="D139" s="32">
        <v>2003</v>
      </c>
      <c r="E139" s="31" t="s">
        <v>6</v>
      </c>
      <c r="F139" s="32" t="s">
        <v>248</v>
      </c>
      <c r="G139" s="31" t="s">
        <v>249</v>
      </c>
      <c r="H139" s="32" t="s">
        <v>97</v>
      </c>
      <c r="I139" s="31" t="s">
        <v>155</v>
      </c>
      <c r="J139" s="32" t="s">
        <v>93</v>
      </c>
      <c r="K139" s="34">
        <v>1</v>
      </c>
      <c r="O139" s="34">
        <v>55</v>
      </c>
      <c r="P139" s="34">
        <v>55</v>
      </c>
      <c r="Q139" s="32" t="s">
        <v>94</v>
      </c>
      <c r="R139" s="34"/>
      <c r="T139" s="32" t="s">
        <v>156</v>
      </c>
      <c r="U139" s="32" t="s">
        <v>237</v>
      </c>
      <c r="V139" s="32">
        <v>300</v>
      </c>
      <c r="W139" s="32" t="s">
        <v>89</v>
      </c>
      <c r="X139" s="32" t="str">
        <f t="shared" si="7"/>
        <v>Printed Hang Tag 55X55 CM</v>
      </c>
      <c r="Y139" s="31" t="s">
        <v>311</v>
      </c>
      <c r="Z139" s="32" t="str">
        <f t="shared" si="8"/>
        <v>Hang Tag 55x55 CM Die Cutting  300 Art Card</v>
      </c>
      <c r="AA139" s="32" t="str">
        <f t="shared" si="9"/>
        <v>Printed  Invercote Paper Band Roll 20.5X11 INCH</v>
      </c>
      <c r="AB139" s="32" t="s">
        <v>825</v>
      </c>
    </row>
    <row r="140" spans="2:28" x14ac:dyDescent="0.25">
      <c r="B140" s="31" t="s">
        <v>6</v>
      </c>
      <c r="D140" s="32">
        <v>2003</v>
      </c>
      <c r="E140" s="31" t="s">
        <v>6</v>
      </c>
      <c r="F140" s="32" t="s">
        <v>248</v>
      </c>
      <c r="G140" s="31" t="s">
        <v>249</v>
      </c>
      <c r="H140" s="32" t="s">
        <v>97</v>
      </c>
      <c r="I140" s="31" t="s">
        <v>34</v>
      </c>
      <c r="J140" s="32" t="s">
        <v>93</v>
      </c>
      <c r="K140" s="34">
        <v>1</v>
      </c>
      <c r="O140" s="34">
        <v>8</v>
      </c>
      <c r="P140" s="34">
        <v>3</v>
      </c>
      <c r="Q140" s="32" t="s">
        <v>94</v>
      </c>
      <c r="R140" s="34"/>
      <c r="T140" s="32" t="s">
        <v>119</v>
      </c>
      <c r="U140" s="32" t="s">
        <v>128</v>
      </c>
      <c r="V140" s="32">
        <v>80</v>
      </c>
      <c r="W140" s="32" t="s">
        <v>89</v>
      </c>
      <c r="X140" s="32" t="str">
        <f t="shared" si="7"/>
        <v>Printed Carton Sticker 8X3 CM</v>
      </c>
      <c r="Y140" s="31" t="s">
        <v>312</v>
      </c>
      <c r="Z140" s="32" t="str">
        <f t="shared" si="8"/>
        <v>Carton Sticker 8x3 CM Pollar Cutting 80 Glossy Sticker</v>
      </c>
      <c r="AA140" s="32" t="str">
        <f t="shared" si="9"/>
        <v>Printed  Invercote Paper Band Roll 20.5X12 INCH</v>
      </c>
      <c r="AB140" s="32" t="s">
        <v>826</v>
      </c>
    </row>
    <row r="141" spans="2:28" ht="14.5" x14ac:dyDescent="0.25">
      <c r="B141" s="31" t="s">
        <v>6</v>
      </c>
      <c r="D141" s="32">
        <v>2003</v>
      </c>
      <c r="E141" s="31" t="s">
        <v>6</v>
      </c>
      <c r="F141" s="32" t="s">
        <v>248</v>
      </c>
      <c r="G141" s="31" t="s">
        <v>249</v>
      </c>
      <c r="H141" s="32" t="s">
        <v>97</v>
      </c>
      <c r="I141" s="35" t="s">
        <v>112</v>
      </c>
      <c r="J141" s="32" t="s">
        <v>93</v>
      </c>
      <c r="K141" s="34">
        <v>2</v>
      </c>
      <c r="O141" s="34">
        <v>16</v>
      </c>
      <c r="P141" s="34">
        <v>12</v>
      </c>
      <c r="Q141" s="32" t="s">
        <v>94</v>
      </c>
      <c r="R141" s="34"/>
      <c r="T141" s="32" t="s">
        <v>156</v>
      </c>
      <c r="U141" s="32" t="s">
        <v>237</v>
      </c>
      <c r="V141" s="32">
        <v>350</v>
      </c>
      <c r="W141" s="32" t="s">
        <v>89</v>
      </c>
      <c r="X141" s="45" t="s">
        <v>669</v>
      </c>
      <c r="Y141" s="31" t="s">
        <v>313</v>
      </c>
      <c r="Z141" s="32" t="str">
        <f t="shared" si="8"/>
        <v>Insert  16x12 CM Die Cutting  350 Art Card</v>
      </c>
      <c r="AA141" s="32" t="str">
        <f t="shared" si="9"/>
        <v>Printed  Invercote Paper Band Roll 9.25X17 INCH</v>
      </c>
      <c r="AB141" s="32" t="s">
        <v>827</v>
      </c>
    </row>
    <row r="142" spans="2:28" x14ac:dyDescent="0.25">
      <c r="B142" s="31" t="s">
        <v>6</v>
      </c>
      <c r="D142" s="32">
        <v>2003</v>
      </c>
      <c r="E142" s="31" t="s">
        <v>6</v>
      </c>
      <c r="F142" s="32" t="s">
        <v>248</v>
      </c>
      <c r="G142" s="31" t="s">
        <v>249</v>
      </c>
      <c r="H142" s="32" t="s">
        <v>97</v>
      </c>
      <c r="I142" s="35" t="s">
        <v>651</v>
      </c>
      <c r="J142" s="32" t="s">
        <v>93</v>
      </c>
      <c r="K142" s="34">
        <v>2</v>
      </c>
      <c r="O142" s="34">
        <v>13.5</v>
      </c>
      <c r="P142" s="34">
        <v>9.5</v>
      </c>
      <c r="Q142" s="32" t="s">
        <v>94</v>
      </c>
      <c r="R142" s="34"/>
      <c r="T142" s="32" t="s">
        <v>119</v>
      </c>
      <c r="U142" s="32" t="s">
        <v>128</v>
      </c>
      <c r="V142" s="32">
        <v>80</v>
      </c>
      <c r="W142" s="32" t="s">
        <v>89</v>
      </c>
      <c r="X142" s="32" t="str">
        <f t="shared" si="7"/>
        <v>Printed Shipping Mark 13.5X9.5 CM</v>
      </c>
      <c r="Y142" s="31" t="s">
        <v>233</v>
      </c>
      <c r="Z142" s="32" t="str">
        <f t="shared" si="8"/>
        <v>Shipping Mark 13.5x9.5 CM Pollar Cutting 80 Glossy Sticker</v>
      </c>
      <c r="AA142" s="32" t="str">
        <f t="shared" si="9"/>
        <v>Printed  Invercote Paper Band Roll 11X17 INCH</v>
      </c>
      <c r="AB142" s="32" t="s">
        <v>828</v>
      </c>
    </row>
    <row r="143" spans="2:28" x14ac:dyDescent="0.25">
      <c r="B143" s="31" t="s">
        <v>6</v>
      </c>
      <c r="D143" s="32">
        <v>2003</v>
      </c>
      <c r="E143" s="31" t="s">
        <v>6</v>
      </c>
      <c r="F143" s="32" t="s">
        <v>248</v>
      </c>
      <c r="G143" s="31" t="s">
        <v>249</v>
      </c>
      <c r="H143" s="32" t="s">
        <v>97</v>
      </c>
      <c r="I143" s="35" t="s">
        <v>112</v>
      </c>
      <c r="J143" s="32" t="s">
        <v>93</v>
      </c>
      <c r="K143" s="34">
        <v>5</v>
      </c>
      <c r="O143" s="34">
        <v>40</v>
      </c>
      <c r="P143" s="34">
        <v>35</v>
      </c>
      <c r="Q143" s="32" t="s">
        <v>94</v>
      </c>
      <c r="R143" s="34"/>
      <c r="S143" s="32" t="s">
        <v>166</v>
      </c>
      <c r="T143" s="32" t="s">
        <v>119</v>
      </c>
      <c r="U143" s="32" t="s">
        <v>237</v>
      </c>
      <c r="V143" s="32">
        <v>250</v>
      </c>
      <c r="W143" s="32" t="s">
        <v>89</v>
      </c>
      <c r="X143" s="32" t="str">
        <f t="shared" si="7"/>
        <v>Printed Insert  40X35 CM</v>
      </c>
      <c r="Y143" s="31" t="s">
        <v>314</v>
      </c>
      <c r="Z143" s="32" t="str">
        <f t="shared" si="8"/>
        <v>Insert  40x35 CM Pollar Cutting 250 Art Card</v>
      </c>
      <c r="AA143" s="32" t="str">
        <f t="shared" si="9"/>
        <v>Printed  Invercote Paper Band Roll 35X12 INCH</v>
      </c>
      <c r="AB143" s="32" t="s">
        <v>829</v>
      </c>
    </row>
    <row r="144" spans="2:28" x14ac:dyDescent="0.25">
      <c r="B144" s="31" t="s">
        <v>6</v>
      </c>
      <c r="D144" s="32">
        <v>2003</v>
      </c>
      <c r="E144" s="31" t="s">
        <v>6</v>
      </c>
      <c r="F144" s="32" t="s">
        <v>248</v>
      </c>
      <c r="G144" s="31" t="s">
        <v>249</v>
      </c>
      <c r="H144" s="32" t="s">
        <v>97</v>
      </c>
      <c r="I144" s="35" t="s">
        <v>112</v>
      </c>
      <c r="J144" s="32" t="s">
        <v>93</v>
      </c>
      <c r="K144" s="34">
        <v>6</v>
      </c>
      <c r="O144" s="34">
        <v>25.2</v>
      </c>
      <c r="P144" s="34">
        <v>17.600000000000001</v>
      </c>
      <c r="Q144" s="32" t="s">
        <v>94</v>
      </c>
      <c r="R144" s="34"/>
      <c r="S144" s="32" t="s">
        <v>166</v>
      </c>
      <c r="T144" s="32" t="s">
        <v>156</v>
      </c>
      <c r="U144" s="32" t="s">
        <v>110</v>
      </c>
      <c r="V144" s="32">
        <v>400</v>
      </c>
      <c r="W144" s="32" t="s">
        <v>89</v>
      </c>
      <c r="X144" s="32" t="str">
        <f t="shared" si="7"/>
        <v>Printed Insert  25.2X17.6 CM</v>
      </c>
      <c r="Y144" s="31" t="s">
        <v>315</v>
      </c>
      <c r="Z144" s="32" t="str">
        <f t="shared" si="8"/>
        <v>Insert  25.2x17.6 CM Die Cutting  400 Swedish Board</v>
      </c>
      <c r="AA144" s="32" t="str">
        <f t="shared" si="9"/>
        <v>Printed  Invercote Paper Band Roll 38X12 INCH</v>
      </c>
      <c r="AB144" s="32" t="s">
        <v>830</v>
      </c>
    </row>
    <row r="145" spans="2:28" x14ac:dyDescent="0.25">
      <c r="B145" s="31" t="s">
        <v>6</v>
      </c>
      <c r="D145" s="32">
        <v>2003</v>
      </c>
      <c r="E145" s="31" t="s">
        <v>6</v>
      </c>
      <c r="F145" s="32" t="s">
        <v>248</v>
      </c>
      <c r="G145" s="31" t="s">
        <v>249</v>
      </c>
      <c r="H145" s="32" t="s">
        <v>97</v>
      </c>
      <c r="I145" s="31" t="s">
        <v>310</v>
      </c>
      <c r="J145" s="32" t="s">
        <v>93</v>
      </c>
      <c r="K145" s="34">
        <v>6</v>
      </c>
      <c r="N145" s="32">
        <v>62</v>
      </c>
      <c r="O145" s="34">
        <v>62</v>
      </c>
      <c r="P145" s="34">
        <v>15</v>
      </c>
      <c r="Q145" s="32" t="s">
        <v>94</v>
      </c>
      <c r="R145" s="34"/>
      <c r="S145" s="32" t="s">
        <v>166</v>
      </c>
      <c r="T145" s="32" t="s">
        <v>156</v>
      </c>
      <c r="U145" s="32" t="s">
        <v>110</v>
      </c>
      <c r="V145" s="32">
        <v>350</v>
      </c>
      <c r="W145" s="32" t="s">
        <v>89</v>
      </c>
      <c r="X145" s="32" t="str">
        <f t="shared" si="7"/>
        <v>Printed Insert Baner 62X15 CM</v>
      </c>
      <c r="Y145" s="31" t="s">
        <v>316</v>
      </c>
      <c r="Z145" s="32" t="str">
        <f t="shared" si="8"/>
        <v>Insert Baner 62x15 CM Die Cutting  350 Swedish Board</v>
      </c>
      <c r="AA145" s="32" t="str">
        <f t="shared" si="9"/>
        <v>Printed  Invercote Paper Band Roll 29X11 INCH</v>
      </c>
      <c r="AB145" s="32" t="s">
        <v>831</v>
      </c>
    </row>
    <row r="146" spans="2:28" x14ac:dyDescent="0.25">
      <c r="B146" s="31" t="s">
        <v>6</v>
      </c>
      <c r="D146" s="32">
        <v>2003</v>
      </c>
      <c r="E146" s="31" t="s">
        <v>6</v>
      </c>
      <c r="F146" s="32" t="s">
        <v>248</v>
      </c>
      <c r="G146" s="32" t="s">
        <v>249</v>
      </c>
      <c r="H146" s="32" t="s">
        <v>97</v>
      </c>
      <c r="I146" s="35" t="s">
        <v>103</v>
      </c>
      <c r="J146" s="32" t="s">
        <v>93</v>
      </c>
      <c r="K146" s="34">
        <v>4</v>
      </c>
      <c r="L146" s="33"/>
      <c r="O146" s="32">
        <v>28</v>
      </c>
      <c r="P146" s="32">
        <v>11</v>
      </c>
      <c r="Q146" s="32" t="s">
        <v>318</v>
      </c>
      <c r="R146" s="34"/>
      <c r="S146" s="32" t="s">
        <v>319</v>
      </c>
      <c r="T146" s="32" t="s">
        <v>321</v>
      </c>
      <c r="U146" s="32" t="s">
        <v>239</v>
      </c>
      <c r="V146" s="32">
        <v>220</v>
      </c>
      <c r="W146" s="32" t="s">
        <v>89</v>
      </c>
      <c r="X146" s="32" t="str">
        <f t="shared" si="7"/>
        <v>Printed Invercote Paper Band Roll 28X11 INCH</v>
      </c>
      <c r="Y146" s="33" t="s">
        <v>351</v>
      </c>
      <c r="Z146" s="32" t="str">
        <f t="shared" si="8"/>
        <v>Invercote Paper Band Roll 28x11 INCH Die &amp; Pollar Cutting 220 Solid Bleach Board Width 560 MM</v>
      </c>
      <c r="AA146" s="32" t="str">
        <f t="shared" si="9"/>
        <v>Printed  Invercote Paper Band Roll 35X17 INCH</v>
      </c>
      <c r="AB146" s="32" t="s">
        <v>832</v>
      </c>
    </row>
    <row r="147" spans="2:28" x14ac:dyDescent="0.25">
      <c r="B147" s="31" t="s">
        <v>6</v>
      </c>
      <c r="D147" s="32">
        <v>2003</v>
      </c>
      <c r="E147" s="31" t="s">
        <v>6</v>
      </c>
      <c r="F147" s="32" t="s">
        <v>248</v>
      </c>
      <c r="G147" s="32" t="s">
        <v>249</v>
      </c>
      <c r="H147" s="32" t="s">
        <v>97</v>
      </c>
      <c r="I147" s="35" t="s">
        <v>103</v>
      </c>
      <c r="J147" s="32" t="s">
        <v>93</v>
      </c>
      <c r="K147" s="34">
        <v>4</v>
      </c>
      <c r="L147" s="33"/>
      <c r="O147" s="32">
        <v>20.5</v>
      </c>
      <c r="P147" s="32">
        <v>11</v>
      </c>
      <c r="Q147" s="32" t="s">
        <v>318</v>
      </c>
      <c r="R147" s="34"/>
      <c r="S147" s="32" t="s">
        <v>319</v>
      </c>
      <c r="T147" s="32" t="s">
        <v>321</v>
      </c>
      <c r="U147" s="32" t="s">
        <v>239</v>
      </c>
      <c r="V147" s="32">
        <v>220</v>
      </c>
      <c r="W147" s="32" t="s">
        <v>89</v>
      </c>
      <c r="X147" s="32" t="str">
        <f t="shared" si="7"/>
        <v>Printed Invercote Paper Band Roll 20.5X11 INCH</v>
      </c>
      <c r="Y147" s="33" t="s">
        <v>352</v>
      </c>
      <c r="Z147" s="32" t="str">
        <f t="shared" si="8"/>
        <v>Invercote Paper Band Roll 20.5x11 INCH Die &amp; Pollar Cutting 220 Solid Bleach Board Width 560 MM</v>
      </c>
      <c r="AA147" s="32" t="str">
        <f t="shared" si="9"/>
        <v>Printed  Invercote Paper Band Roll 34X12 INCH</v>
      </c>
      <c r="AB147" s="32" t="s">
        <v>833</v>
      </c>
    </row>
    <row r="148" spans="2:28" x14ac:dyDescent="0.25">
      <c r="B148" s="31" t="s">
        <v>6</v>
      </c>
      <c r="D148" s="32">
        <v>2003</v>
      </c>
      <c r="E148" s="31" t="s">
        <v>6</v>
      </c>
      <c r="F148" s="32" t="s">
        <v>248</v>
      </c>
      <c r="G148" s="32" t="s">
        <v>249</v>
      </c>
      <c r="H148" s="32" t="s">
        <v>97</v>
      </c>
      <c r="I148" s="35" t="s">
        <v>103</v>
      </c>
      <c r="J148" s="32" t="s">
        <v>93</v>
      </c>
      <c r="K148" s="34">
        <v>4</v>
      </c>
      <c r="L148" s="33"/>
      <c r="O148" s="32">
        <v>20.5</v>
      </c>
      <c r="P148" s="32">
        <v>12</v>
      </c>
      <c r="Q148" s="32" t="s">
        <v>318</v>
      </c>
      <c r="R148" s="34"/>
      <c r="S148" s="32" t="s">
        <v>319</v>
      </c>
      <c r="T148" s="32" t="s">
        <v>321</v>
      </c>
      <c r="U148" s="32" t="s">
        <v>239</v>
      </c>
      <c r="V148" s="32">
        <v>220</v>
      </c>
      <c r="W148" s="32" t="s">
        <v>89</v>
      </c>
      <c r="X148" s="32" t="str">
        <f t="shared" si="7"/>
        <v>Printed Invercote Paper Band Roll 20.5X12 INCH</v>
      </c>
      <c r="Y148" s="33" t="s">
        <v>353</v>
      </c>
      <c r="Z148" s="32" t="str">
        <f t="shared" si="8"/>
        <v>Invercote Paper Band Roll 20.5x12 INCH Die &amp; Pollar Cutting 220 Solid Bleach Board Width 560 MM</v>
      </c>
      <c r="AA148" s="32" t="str">
        <f t="shared" si="9"/>
        <v>Printed  Insert  15.5X12.5 CM</v>
      </c>
      <c r="AB148" s="32" t="s">
        <v>834</v>
      </c>
    </row>
    <row r="149" spans="2:28" x14ac:dyDescent="0.25">
      <c r="B149" s="31" t="s">
        <v>6</v>
      </c>
      <c r="D149" s="32">
        <v>2003</v>
      </c>
      <c r="E149" s="31" t="s">
        <v>6</v>
      </c>
      <c r="F149" s="32" t="s">
        <v>248</v>
      </c>
      <c r="G149" s="32" t="s">
        <v>249</v>
      </c>
      <c r="H149" s="32" t="s">
        <v>97</v>
      </c>
      <c r="I149" s="35" t="s">
        <v>103</v>
      </c>
      <c r="J149" s="32" t="s">
        <v>93</v>
      </c>
      <c r="K149" s="34">
        <v>4</v>
      </c>
      <c r="L149" s="33"/>
      <c r="O149" s="32">
        <v>9.25</v>
      </c>
      <c r="P149" s="32">
        <v>17</v>
      </c>
      <c r="Q149" s="32" t="s">
        <v>318</v>
      </c>
      <c r="R149" s="34"/>
      <c r="S149" s="32" t="s">
        <v>319</v>
      </c>
      <c r="T149" s="32" t="s">
        <v>321</v>
      </c>
      <c r="U149" s="32" t="s">
        <v>239</v>
      </c>
      <c r="V149" s="32">
        <v>220</v>
      </c>
      <c r="W149" s="32" t="s">
        <v>89</v>
      </c>
      <c r="X149" s="32" t="str">
        <f t="shared" si="7"/>
        <v>Printed Invercote Paper Band Roll 9.25X17 INCH</v>
      </c>
      <c r="Y149" s="33" t="s">
        <v>354</v>
      </c>
      <c r="Z149" s="32" t="str">
        <f t="shared" si="8"/>
        <v>Invercote Paper Band Roll 9.25x17 INCH Die &amp; Pollar Cutting 220 Solid Bleach Board Width 560 MM</v>
      </c>
      <c r="AA149" s="32" t="str">
        <f t="shared" si="9"/>
        <v>Printed  Insert  27X12.5 CM</v>
      </c>
      <c r="AB149" s="32" t="s">
        <v>835</v>
      </c>
    </row>
    <row r="150" spans="2:28" x14ac:dyDescent="0.25">
      <c r="B150" s="31" t="s">
        <v>6</v>
      </c>
      <c r="D150" s="32">
        <v>2003</v>
      </c>
      <c r="E150" s="31" t="s">
        <v>6</v>
      </c>
      <c r="F150" s="32" t="s">
        <v>248</v>
      </c>
      <c r="G150" s="32" t="s">
        <v>249</v>
      </c>
      <c r="H150" s="32" t="s">
        <v>97</v>
      </c>
      <c r="I150" s="35" t="s">
        <v>103</v>
      </c>
      <c r="J150" s="32" t="s">
        <v>93</v>
      </c>
      <c r="K150" s="34">
        <v>4</v>
      </c>
      <c r="L150" s="33"/>
      <c r="O150" s="32">
        <v>11</v>
      </c>
      <c r="P150" s="32">
        <v>17</v>
      </c>
      <c r="Q150" s="32" t="s">
        <v>318</v>
      </c>
      <c r="R150" s="34"/>
      <c r="S150" s="32" t="s">
        <v>319</v>
      </c>
      <c r="T150" s="32" t="s">
        <v>321</v>
      </c>
      <c r="U150" s="32" t="s">
        <v>239</v>
      </c>
      <c r="V150" s="32">
        <v>220</v>
      </c>
      <c r="W150" s="32" t="s">
        <v>89</v>
      </c>
      <c r="X150" s="32" t="str">
        <f t="shared" si="7"/>
        <v>Printed Invercote Paper Band Roll 11X17 INCH</v>
      </c>
      <c r="Y150" s="33" t="s">
        <v>355</v>
      </c>
      <c r="Z150" s="32" t="str">
        <f t="shared" si="8"/>
        <v>Invercote Paper Band Roll 11x17 INCH Die &amp; Pollar Cutting 220 Solid Bleach Board Width 560 MM</v>
      </c>
      <c r="AA150" s="32" t="str">
        <f t="shared" si="9"/>
        <v>Printed  Insert  11.5X11.5 CM</v>
      </c>
      <c r="AB150" s="32" t="s">
        <v>836</v>
      </c>
    </row>
    <row r="151" spans="2:28" x14ac:dyDescent="0.25">
      <c r="B151" s="31" t="s">
        <v>6</v>
      </c>
      <c r="D151" s="32">
        <v>2003</v>
      </c>
      <c r="E151" s="31" t="s">
        <v>6</v>
      </c>
      <c r="F151" s="32" t="s">
        <v>248</v>
      </c>
      <c r="G151" s="32" t="s">
        <v>249</v>
      </c>
      <c r="H151" s="32" t="s">
        <v>97</v>
      </c>
      <c r="I151" s="35" t="s">
        <v>103</v>
      </c>
      <c r="J151" s="32" t="s">
        <v>93</v>
      </c>
      <c r="K151" s="34">
        <v>4</v>
      </c>
      <c r="L151" s="33"/>
      <c r="O151" s="32">
        <v>35</v>
      </c>
      <c r="P151" s="32">
        <v>12</v>
      </c>
      <c r="Q151" s="32" t="s">
        <v>318</v>
      </c>
      <c r="R151" s="34"/>
      <c r="S151" s="32" t="s">
        <v>319</v>
      </c>
      <c r="T151" s="32" t="s">
        <v>321</v>
      </c>
      <c r="U151" s="32" t="s">
        <v>239</v>
      </c>
      <c r="V151" s="32">
        <v>220</v>
      </c>
      <c r="W151" s="32" t="s">
        <v>89</v>
      </c>
      <c r="X151" s="32" t="str">
        <f t="shared" si="7"/>
        <v>Printed Invercote Paper Band Roll 35X12 INCH</v>
      </c>
      <c r="Y151" s="33" t="s">
        <v>356</v>
      </c>
      <c r="Z151" s="32" t="str">
        <f t="shared" si="8"/>
        <v>Invercote Paper Band Roll 35x12 INCH Die &amp; Pollar Cutting 220 Solid Bleach Board Width 560 MM</v>
      </c>
      <c r="AA151" s="32" t="str">
        <f t="shared" si="9"/>
        <v>Printed  Insert  24X12.5 CM</v>
      </c>
      <c r="AB151" s="32" t="s">
        <v>837</v>
      </c>
    </row>
    <row r="152" spans="2:28" x14ac:dyDescent="0.25">
      <c r="B152" s="31" t="s">
        <v>6</v>
      </c>
      <c r="D152" s="32">
        <v>2003</v>
      </c>
      <c r="E152" s="31" t="s">
        <v>6</v>
      </c>
      <c r="F152" s="32" t="s">
        <v>248</v>
      </c>
      <c r="G152" s="32" t="s">
        <v>249</v>
      </c>
      <c r="H152" s="32" t="s">
        <v>97</v>
      </c>
      <c r="I152" s="35" t="s">
        <v>103</v>
      </c>
      <c r="J152" s="32" t="s">
        <v>93</v>
      </c>
      <c r="K152" s="34">
        <v>4</v>
      </c>
      <c r="L152" s="33"/>
      <c r="O152" s="32">
        <v>38</v>
      </c>
      <c r="P152" s="32">
        <v>12</v>
      </c>
      <c r="Q152" s="32" t="s">
        <v>318</v>
      </c>
      <c r="R152" s="34"/>
      <c r="S152" s="32" t="s">
        <v>319</v>
      </c>
      <c r="T152" s="32" t="s">
        <v>321</v>
      </c>
      <c r="U152" s="32" t="s">
        <v>239</v>
      </c>
      <c r="V152" s="32">
        <v>220</v>
      </c>
      <c r="W152" s="32" t="s">
        <v>89</v>
      </c>
      <c r="X152" s="32" t="str">
        <f t="shared" si="7"/>
        <v>Printed Invercote Paper Band Roll 38X12 INCH</v>
      </c>
      <c r="Y152" s="33" t="s">
        <v>357</v>
      </c>
      <c r="Z152" s="32" t="str">
        <f t="shared" si="8"/>
        <v>Invercote Paper Band Roll 38x12 INCH Die &amp; Pollar Cutting 220 Solid Bleach Board Width 560 MM</v>
      </c>
      <c r="AA152" s="32" t="str">
        <f t="shared" si="9"/>
        <v>Printed  Insert  25.5X12.5 CM</v>
      </c>
      <c r="AB152" s="32" t="s">
        <v>736</v>
      </c>
    </row>
    <row r="153" spans="2:28" x14ac:dyDescent="0.25">
      <c r="B153" s="31" t="s">
        <v>6</v>
      </c>
      <c r="D153" s="32">
        <v>2003</v>
      </c>
      <c r="E153" s="31" t="s">
        <v>6</v>
      </c>
      <c r="F153" s="32" t="s">
        <v>248</v>
      </c>
      <c r="G153" s="32" t="s">
        <v>249</v>
      </c>
      <c r="H153" s="32" t="s">
        <v>97</v>
      </c>
      <c r="I153" s="35" t="s">
        <v>103</v>
      </c>
      <c r="J153" s="32" t="s">
        <v>93</v>
      </c>
      <c r="K153" s="34">
        <v>4</v>
      </c>
      <c r="L153" s="33"/>
      <c r="O153" s="32">
        <v>29</v>
      </c>
      <c r="P153" s="32">
        <v>11</v>
      </c>
      <c r="Q153" s="32" t="s">
        <v>318</v>
      </c>
      <c r="R153" s="34"/>
      <c r="S153" s="32" t="s">
        <v>319</v>
      </c>
      <c r="T153" s="32" t="s">
        <v>321</v>
      </c>
      <c r="U153" s="32" t="s">
        <v>239</v>
      </c>
      <c r="V153" s="32">
        <v>220</v>
      </c>
      <c r="W153" s="32" t="s">
        <v>89</v>
      </c>
      <c r="X153" s="32" t="str">
        <f t="shared" si="7"/>
        <v>Printed Invercote Paper Band Roll 29X11 INCH</v>
      </c>
      <c r="Y153" s="33" t="s">
        <v>358</v>
      </c>
      <c r="Z153" s="32" t="str">
        <f t="shared" si="8"/>
        <v>Invercote Paper Band Roll 29x11 INCH Die &amp; Pollar Cutting 220 Solid Bleach Board Width 560 MM</v>
      </c>
      <c r="AA153" s="32" t="str">
        <f t="shared" si="9"/>
        <v>Printed  Insert  16.5X12.5 CM</v>
      </c>
      <c r="AB153" s="32" t="s">
        <v>838</v>
      </c>
    </row>
    <row r="154" spans="2:28" x14ac:dyDescent="0.25">
      <c r="B154" s="31" t="s">
        <v>6</v>
      </c>
      <c r="D154" s="32">
        <v>2003</v>
      </c>
      <c r="E154" s="31" t="s">
        <v>6</v>
      </c>
      <c r="F154" s="32" t="s">
        <v>248</v>
      </c>
      <c r="G154" s="32" t="s">
        <v>249</v>
      </c>
      <c r="H154" s="32" t="s">
        <v>97</v>
      </c>
      <c r="I154" s="35" t="s">
        <v>103</v>
      </c>
      <c r="J154" s="32" t="s">
        <v>93</v>
      </c>
      <c r="K154" s="34">
        <v>4</v>
      </c>
      <c r="L154" s="33"/>
      <c r="O154" s="32">
        <v>35</v>
      </c>
      <c r="P154" s="32">
        <v>17</v>
      </c>
      <c r="Q154" s="32" t="s">
        <v>318</v>
      </c>
      <c r="R154" s="34"/>
      <c r="S154" s="32" t="s">
        <v>319</v>
      </c>
      <c r="T154" s="32" t="s">
        <v>321</v>
      </c>
      <c r="U154" s="32" t="s">
        <v>239</v>
      </c>
      <c r="V154" s="32">
        <v>220</v>
      </c>
      <c r="W154" s="32" t="s">
        <v>89</v>
      </c>
      <c r="X154" s="32" t="str">
        <f t="shared" si="7"/>
        <v>Printed Invercote Paper Band Roll 35X17 INCH</v>
      </c>
      <c r="Y154" s="33" t="s">
        <v>359</v>
      </c>
      <c r="Z154" s="32" t="str">
        <f t="shared" si="8"/>
        <v>Invercote Paper Band Roll 35x17 INCH Die &amp; Pollar Cutting 220 Solid Bleach Board Width 560 MM</v>
      </c>
      <c r="AA154" s="32" t="str">
        <f t="shared" si="9"/>
        <v>Printed  Insert  16.25X12.5 CM</v>
      </c>
      <c r="AB154" s="32" t="s">
        <v>839</v>
      </c>
    </row>
    <row r="155" spans="2:28" x14ac:dyDescent="0.25">
      <c r="B155" s="31" t="s">
        <v>6</v>
      </c>
      <c r="D155" s="32">
        <v>2003</v>
      </c>
      <c r="E155" s="31" t="s">
        <v>6</v>
      </c>
      <c r="F155" s="32" t="s">
        <v>248</v>
      </c>
      <c r="G155" s="32" t="s">
        <v>249</v>
      </c>
      <c r="H155" s="32" t="s">
        <v>97</v>
      </c>
      <c r="I155" s="35" t="s">
        <v>103</v>
      </c>
      <c r="J155" s="32" t="s">
        <v>93</v>
      </c>
      <c r="K155" s="34">
        <v>4</v>
      </c>
      <c r="L155" s="33"/>
      <c r="O155" s="32">
        <v>34</v>
      </c>
      <c r="P155" s="32">
        <v>12</v>
      </c>
      <c r="Q155" s="32" t="s">
        <v>318</v>
      </c>
      <c r="R155" s="34"/>
      <c r="S155" s="32" t="s">
        <v>319</v>
      </c>
      <c r="T155" s="32" t="s">
        <v>321</v>
      </c>
      <c r="U155" s="32" t="s">
        <v>239</v>
      </c>
      <c r="V155" s="32">
        <v>220</v>
      </c>
      <c r="W155" s="32" t="s">
        <v>89</v>
      </c>
      <c r="X155" s="32" t="str">
        <f t="shared" si="7"/>
        <v>Printed Invercote Paper Band Roll 34X12 INCH</v>
      </c>
      <c r="Y155" s="31" t="s">
        <v>360</v>
      </c>
      <c r="Z155" s="32" t="str">
        <f t="shared" si="8"/>
        <v>Invercote Paper Band Roll 34x12 INCH Die &amp; Pollar Cutting 220 Solid Bleach Board Width 560 MM</v>
      </c>
      <c r="AA155" s="32" t="str">
        <f t="shared" si="9"/>
        <v>Printed  Insert  28.5X12.5 CM</v>
      </c>
      <c r="AB155" s="32" t="s">
        <v>840</v>
      </c>
    </row>
    <row r="156" spans="2:28" x14ac:dyDescent="0.25">
      <c r="B156" s="31" t="s">
        <v>6</v>
      </c>
      <c r="D156" s="32">
        <v>2003</v>
      </c>
      <c r="E156" s="31" t="s">
        <v>6</v>
      </c>
      <c r="F156" s="32" t="s">
        <v>248</v>
      </c>
      <c r="G156" s="32" t="s">
        <v>249</v>
      </c>
      <c r="H156" s="32" t="s">
        <v>97</v>
      </c>
      <c r="I156" s="35" t="s">
        <v>112</v>
      </c>
      <c r="J156" s="32" t="s">
        <v>93</v>
      </c>
      <c r="K156" s="34">
        <v>4</v>
      </c>
      <c r="L156" s="31"/>
      <c r="O156" s="32">
        <v>15.5</v>
      </c>
      <c r="P156" s="32">
        <v>12.5</v>
      </c>
      <c r="Q156" s="32" t="s">
        <v>94</v>
      </c>
      <c r="R156" s="34" t="s">
        <v>320</v>
      </c>
      <c r="T156" s="32" t="s">
        <v>321</v>
      </c>
      <c r="U156" s="32" t="s">
        <v>187</v>
      </c>
      <c r="V156" s="32">
        <v>300</v>
      </c>
      <c r="W156" s="32" t="s">
        <v>89</v>
      </c>
      <c r="X156" s="32" t="str">
        <f t="shared" si="7"/>
        <v>Printed Insert  15.5X12.5 CM</v>
      </c>
      <c r="Y156" s="31" t="s">
        <v>361</v>
      </c>
      <c r="Z156" s="32" t="str">
        <f t="shared" si="8"/>
        <v>Insert  15.5x12.5 CM Die &amp; Pollar Cutting 300 Duplex Board</v>
      </c>
      <c r="AA156" s="32" t="str">
        <f t="shared" si="9"/>
        <v>Printed Matt  Insert  29.5X12.5 CM</v>
      </c>
      <c r="AB156" s="32" t="s">
        <v>841</v>
      </c>
    </row>
    <row r="157" spans="2:28" x14ac:dyDescent="0.25">
      <c r="B157" s="31" t="s">
        <v>6</v>
      </c>
      <c r="D157" s="32">
        <v>2003</v>
      </c>
      <c r="E157" s="31" t="s">
        <v>6</v>
      </c>
      <c r="F157" s="32" t="s">
        <v>248</v>
      </c>
      <c r="G157" s="32" t="s">
        <v>249</v>
      </c>
      <c r="H157" s="32" t="s">
        <v>97</v>
      </c>
      <c r="I157" s="35" t="s">
        <v>112</v>
      </c>
      <c r="J157" s="32" t="s">
        <v>93</v>
      </c>
      <c r="K157" s="34">
        <v>5</v>
      </c>
      <c r="L157" s="33"/>
      <c r="O157" s="32">
        <v>27</v>
      </c>
      <c r="P157" s="32">
        <v>12.5</v>
      </c>
      <c r="Q157" s="32" t="s">
        <v>94</v>
      </c>
      <c r="R157" s="34" t="s">
        <v>320</v>
      </c>
      <c r="T157" s="32" t="s">
        <v>321</v>
      </c>
      <c r="U157" s="32" t="s">
        <v>187</v>
      </c>
      <c r="V157" s="32">
        <v>300</v>
      </c>
      <c r="W157" s="32" t="s">
        <v>89</v>
      </c>
      <c r="X157" s="32" t="str">
        <f t="shared" si="7"/>
        <v>Printed Insert  27X12.5 CM</v>
      </c>
      <c r="Y157" s="33" t="s">
        <v>362</v>
      </c>
      <c r="Z157" s="32" t="str">
        <f t="shared" si="8"/>
        <v>Insert  27x12.5 CM Die &amp; Pollar Cutting 300 Duplex Board</v>
      </c>
      <c r="AA157" s="32" t="str">
        <f t="shared" si="9"/>
        <v>Printed Matt  Insert  27X25 CM</v>
      </c>
      <c r="AB157" s="32" t="s">
        <v>842</v>
      </c>
    </row>
    <row r="158" spans="2:28" x14ac:dyDescent="0.25">
      <c r="B158" s="31" t="s">
        <v>6</v>
      </c>
      <c r="D158" s="32">
        <v>2003</v>
      </c>
      <c r="E158" s="31" t="s">
        <v>6</v>
      </c>
      <c r="F158" s="32" t="s">
        <v>248</v>
      </c>
      <c r="G158" s="32" t="s">
        <v>249</v>
      </c>
      <c r="H158" s="32" t="s">
        <v>97</v>
      </c>
      <c r="I158" s="35" t="s">
        <v>112</v>
      </c>
      <c r="J158" s="32" t="s">
        <v>93</v>
      </c>
      <c r="K158" s="34">
        <v>2</v>
      </c>
      <c r="L158" s="33"/>
      <c r="O158" s="32">
        <v>11.5</v>
      </c>
      <c r="P158" s="32">
        <v>11.5</v>
      </c>
      <c r="Q158" s="32" t="s">
        <v>94</v>
      </c>
      <c r="R158" s="34" t="s">
        <v>320</v>
      </c>
      <c r="T158" s="32" t="s">
        <v>236</v>
      </c>
      <c r="U158" s="32" t="s">
        <v>237</v>
      </c>
      <c r="V158" s="32">
        <v>300</v>
      </c>
      <c r="W158" s="32" t="s">
        <v>89</v>
      </c>
      <c r="X158" s="32" t="str">
        <f t="shared" si="7"/>
        <v>Printed Insert  11.5X11.5 CM</v>
      </c>
      <c r="Y158" s="33" t="s">
        <v>186</v>
      </c>
      <c r="Z158" s="32" t="str">
        <f t="shared" si="8"/>
        <v>Insert  11.5x11.5 CM Die Cutting 300 Art Card</v>
      </c>
      <c r="AA158" s="32" t="str">
        <f t="shared" si="9"/>
        <v>Printed Matt  Insert  27X27 CM</v>
      </c>
      <c r="AB158" s="32" t="s">
        <v>843</v>
      </c>
    </row>
    <row r="159" spans="2:28" x14ac:dyDescent="0.25">
      <c r="B159" s="31" t="s">
        <v>6</v>
      </c>
      <c r="D159" s="32">
        <v>2003</v>
      </c>
      <c r="E159" s="31" t="s">
        <v>6</v>
      </c>
      <c r="F159" s="32" t="s">
        <v>248</v>
      </c>
      <c r="G159" s="32" t="s">
        <v>249</v>
      </c>
      <c r="H159" s="32" t="s">
        <v>97</v>
      </c>
      <c r="I159" s="35" t="s">
        <v>112</v>
      </c>
      <c r="J159" s="32" t="s">
        <v>93</v>
      </c>
      <c r="K159" s="34">
        <v>2</v>
      </c>
      <c r="L159" s="33"/>
      <c r="O159" s="32">
        <v>24</v>
      </c>
      <c r="P159" s="32">
        <v>12.5</v>
      </c>
      <c r="Q159" s="32" t="s">
        <v>94</v>
      </c>
      <c r="R159" s="34" t="s">
        <v>320</v>
      </c>
      <c r="T159" s="32" t="s">
        <v>321</v>
      </c>
      <c r="U159" s="32" t="s">
        <v>187</v>
      </c>
      <c r="V159" s="32">
        <v>300</v>
      </c>
      <c r="W159" s="32" t="s">
        <v>89</v>
      </c>
      <c r="X159" s="32" t="str">
        <f t="shared" si="7"/>
        <v>Printed Insert  24X12.5 CM</v>
      </c>
      <c r="Y159" s="33" t="s">
        <v>188</v>
      </c>
      <c r="Z159" s="32" t="str">
        <f t="shared" si="8"/>
        <v>Insert  24x12.5 CM Die &amp; Pollar Cutting 300 Duplex Board</v>
      </c>
      <c r="AA159" s="32" t="str">
        <f t="shared" si="9"/>
        <v>Printed Matt  Insert  17X12.5 CM</v>
      </c>
      <c r="AB159" s="32" t="s">
        <v>844</v>
      </c>
    </row>
    <row r="160" spans="2:28" x14ac:dyDescent="0.25">
      <c r="B160" s="31" t="s">
        <v>6</v>
      </c>
      <c r="D160" s="32">
        <v>2003</v>
      </c>
      <c r="E160" s="31" t="s">
        <v>6</v>
      </c>
      <c r="F160" s="32" t="s">
        <v>248</v>
      </c>
      <c r="G160" s="32" t="s">
        <v>249</v>
      </c>
      <c r="H160" s="32" t="s">
        <v>97</v>
      </c>
      <c r="I160" s="35" t="s">
        <v>112</v>
      </c>
      <c r="J160" s="32" t="s">
        <v>93</v>
      </c>
      <c r="K160" s="34">
        <v>2</v>
      </c>
      <c r="L160" s="33"/>
      <c r="O160" s="32">
        <v>25.5</v>
      </c>
      <c r="P160" s="32">
        <v>12.5</v>
      </c>
      <c r="Q160" s="32" t="s">
        <v>94</v>
      </c>
      <c r="R160" s="34" t="s">
        <v>320</v>
      </c>
      <c r="T160" s="32" t="s">
        <v>321</v>
      </c>
      <c r="U160" s="32" t="s">
        <v>187</v>
      </c>
      <c r="V160" s="32">
        <v>300</v>
      </c>
      <c r="W160" s="32" t="s">
        <v>89</v>
      </c>
      <c r="X160" s="32" t="str">
        <f t="shared" si="7"/>
        <v>Printed Insert  25.5X12.5 CM</v>
      </c>
      <c r="Y160" s="33" t="s">
        <v>363</v>
      </c>
      <c r="Z160" s="32" t="str">
        <f t="shared" si="8"/>
        <v>Insert  25.5x12.5 CM Die &amp; Pollar Cutting 300 Duplex Board</v>
      </c>
      <c r="AA160" s="32" t="str">
        <f t="shared" si="9"/>
        <v>Printed Matt  Insert  23.25X12.5 CM</v>
      </c>
      <c r="AB160" s="32" t="s">
        <v>845</v>
      </c>
    </row>
    <row r="161" spans="2:28" x14ac:dyDescent="0.25">
      <c r="B161" s="31" t="s">
        <v>6</v>
      </c>
      <c r="D161" s="32">
        <v>2003</v>
      </c>
      <c r="E161" s="31" t="s">
        <v>6</v>
      </c>
      <c r="F161" s="32" t="s">
        <v>248</v>
      </c>
      <c r="G161" s="32" t="s">
        <v>249</v>
      </c>
      <c r="H161" s="32" t="s">
        <v>97</v>
      </c>
      <c r="I161" s="35" t="s">
        <v>112</v>
      </c>
      <c r="J161" s="32" t="s">
        <v>93</v>
      </c>
      <c r="K161" s="34">
        <v>1</v>
      </c>
      <c r="L161" s="33"/>
      <c r="O161" s="32">
        <v>16.5</v>
      </c>
      <c r="P161" s="32">
        <v>12.5</v>
      </c>
      <c r="Q161" s="32" t="s">
        <v>94</v>
      </c>
      <c r="R161" s="34" t="s">
        <v>320</v>
      </c>
      <c r="T161" s="32" t="s">
        <v>321</v>
      </c>
      <c r="U161" s="32" t="s">
        <v>187</v>
      </c>
      <c r="V161" s="32">
        <v>300</v>
      </c>
      <c r="W161" s="32" t="s">
        <v>89</v>
      </c>
      <c r="X161" s="32" t="str">
        <f t="shared" si="7"/>
        <v>Printed Insert  16.5X12.5 CM</v>
      </c>
      <c r="Y161" s="33" t="s">
        <v>189</v>
      </c>
      <c r="Z161" s="32" t="str">
        <f t="shared" si="8"/>
        <v>Insert  16.5x12.5 CM Die &amp; Pollar Cutting 300 Duplex Board</v>
      </c>
      <c r="AA161" s="32" t="str">
        <f t="shared" si="9"/>
        <v>Printed Matt  Insert  22X12.5 CM</v>
      </c>
      <c r="AB161" s="32" t="s">
        <v>846</v>
      </c>
    </row>
    <row r="162" spans="2:28" x14ac:dyDescent="0.25">
      <c r="B162" s="31" t="s">
        <v>6</v>
      </c>
      <c r="D162" s="32">
        <v>2003</v>
      </c>
      <c r="E162" s="31" t="s">
        <v>6</v>
      </c>
      <c r="F162" s="32" t="s">
        <v>248</v>
      </c>
      <c r="G162" s="32" t="s">
        <v>249</v>
      </c>
      <c r="H162" s="32" t="s">
        <v>97</v>
      </c>
      <c r="I162" s="35" t="s">
        <v>112</v>
      </c>
      <c r="J162" s="32" t="s">
        <v>93</v>
      </c>
      <c r="K162" s="34">
        <v>4</v>
      </c>
      <c r="L162" s="33"/>
      <c r="O162" s="32">
        <v>16.25</v>
      </c>
      <c r="P162" s="32">
        <v>12.5</v>
      </c>
      <c r="Q162" s="32" t="s">
        <v>94</v>
      </c>
      <c r="R162" s="34" t="s">
        <v>320</v>
      </c>
      <c r="T162" s="32" t="s">
        <v>321</v>
      </c>
      <c r="U162" s="32" t="s">
        <v>187</v>
      </c>
      <c r="V162" s="32">
        <v>300</v>
      </c>
      <c r="W162" s="32" t="s">
        <v>89</v>
      </c>
      <c r="X162" s="32" t="str">
        <f t="shared" si="7"/>
        <v>Printed Insert  16.25X12.5 CM</v>
      </c>
      <c r="Y162" s="33" t="s">
        <v>364</v>
      </c>
      <c r="Z162" s="32" t="str">
        <f t="shared" si="8"/>
        <v>Insert  16.25x12.5 CM Die &amp; Pollar Cutting 300 Duplex Board</v>
      </c>
      <c r="AA162" s="32" t="str">
        <f t="shared" si="9"/>
        <v>Printed Matt  Insert  23X12.5 CM</v>
      </c>
      <c r="AB162" s="32" t="s">
        <v>847</v>
      </c>
    </row>
    <row r="163" spans="2:28" x14ac:dyDescent="0.25">
      <c r="B163" s="31" t="s">
        <v>6</v>
      </c>
      <c r="D163" s="32">
        <v>2003</v>
      </c>
      <c r="E163" s="31" t="s">
        <v>6</v>
      </c>
      <c r="F163" s="32" t="s">
        <v>248</v>
      </c>
      <c r="G163" s="32" t="s">
        <v>249</v>
      </c>
      <c r="H163" s="32" t="s">
        <v>97</v>
      </c>
      <c r="I163" s="35" t="s">
        <v>112</v>
      </c>
      <c r="J163" s="32" t="s">
        <v>93</v>
      </c>
      <c r="K163" s="34">
        <v>5</v>
      </c>
      <c r="L163" s="33"/>
      <c r="O163" s="32">
        <v>28.5</v>
      </c>
      <c r="P163" s="32">
        <v>12.5</v>
      </c>
      <c r="Q163" s="32" t="s">
        <v>94</v>
      </c>
      <c r="R163" s="34" t="s">
        <v>320</v>
      </c>
      <c r="T163" s="32" t="s">
        <v>321</v>
      </c>
      <c r="U163" s="32" t="s">
        <v>187</v>
      </c>
      <c r="V163" s="32">
        <v>300</v>
      </c>
      <c r="W163" s="32" t="s">
        <v>89</v>
      </c>
      <c r="X163" s="32" t="str">
        <f t="shared" si="7"/>
        <v>Printed Insert  28.5X12.5 CM</v>
      </c>
      <c r="Y163" s="33" t="s">
        <v>191</v>
      </c>
      <c r="Z163" s="32" t="str">
        <f t="shared" si="8"/>
        <v>Insert  28.5x12.5 CM Die &amp; Pollar Cutting 300 Duplex Board</v>
      </c>
      <c r="AA163" s="32" t="str">
        <f t="shared" si="9"/>
        <v>Printed Matt  Insert  36X10.5 CM</v>
      </c>
      <c r="AB163" s="32" t="s">
        <v>848</v>
      </c>
    </row>
    <row r="164" spans="2:28" x14ac:dyDescent="0.25">
      <c r="B164" s="31" t="s">
        <v>6</v>
      </c>
      <c r="D164" s="32">
        <v>2003</v>
      </c>
      <c r="E164" s="31" t="s">
        <v>6</v>
      </c>
      <c r="F164" s="32" t="s">
        <v>248</v>
      </c>
      <c r="G164" s="32" t="s">
        <v>249</v>
      </c>
      <c r="H164" s="32" t="s">
        <v>97</v>
      </c>
      <c r="I164" s="35" t="s">
        <v>112</v>
      </c>
      <c r="J164" s="32" t="s">
        <v>93</v>
      </c>
      <c r="K164" s="34">
        <v>5</v>
      </c>
      <c r="L164" s="33"/>
      <c r="O164" s="32">
        <v>29.5</v>
      </c>
      <c r="P164" s="32">
        <v>12.5</v>
      </c>
      <c r="Q164" s="32" t="s">
        <v>94</v>
      </c>
      <c r="R164" s="34" t="s">
        <v>320</v>
      </c>
      <c r="T164" s="32" t="s">
        <v>321</v>
      </c>
      <c r="U164" s="32" t="s">
        <v>187</v>
      </c>
      <c r="V164" s="32">
        <v>300</v>
      </c>
      <c r="W164" s="32" t="s">
        <v>89</v>
      </c>
      <c r="X164" s="32" t="str">
        <f t="shared" si="7"/>
        <v>Printed Insert  29.5X12.5 CM</v>
      </c>
      <c r="Y164" s="33" t="s">
        <v>365</v>
      </c>
      <c r="Z164" s="32" t="str">
        <f t="shared" si="8"/>
        <v>Insert  29.5x12.5 CM Die &amp; Pollar Cutting 300 Duplex Board</v>
      </c>
      <c r="AA164" s="32" t="str">
        <f t="shared" si="9"/>
        <v>Printed Matt  Insert  38X10.5 CM</v>
      </c>
      <c r="AB164" s="32" t="s">
        <v>849</v>
      </c>
    </row>
    <row r="165" spans="2:28" x14ac:dyDescent="0.25">
      <c r="B165" s="31" t="s">
        <v>6</v>
      </c>
      <c r="D165" s="32">
        <v>2003</v>
      </c>
      <c r="E165" s="31" t="s">
        <v>6</v>
      </c>
      <c r="F165" s="32" t="s">
        <v>248</v>
      </c>
      <c r="G165" s="32" t="s">
        <v>249</v>
      </c>
      <c r="H165" s="32" t="s">
        <v>97</v>
      </c>
      <c r="I165" s="35" t="s">
        <v>112</v>
      </c>
      <c r="J165" s="32" t="s">
        <v>93</v>
      </c>
      <c r="K165" s="34">
        <v>3</v>
      </c>
      <c r="L165" s="33"/>
      <c r="O165" s="32">
        <v>27</v>
      </c>
      <c r="P165" s="32">
        <v>25</v>
      </c>
      <c r="Q165" s="32" t="s">
        <v>94</v>
      </c>
      <c r="R165" s="34" t="s">
        <v>320</v>
      </c>
      <c r="T165" s="32" t="s">
        <v>321</v>
      </c>
      <c r="U165" s="32" t="s">
        <v>187</v>
      </c>
      <c r="V165" s="32">
        <v>300</v>
      </c>
      <c r="W165" s="32" t="s">
        <v>89</v>
      </c>
      <c r="X165" s="32" t="str">
        <f t="shared" si="7"/>
        <v>Printed Insert  27X25 CM</v>
      </c>
      <c r="Y165" s="33" t="s">
        <v>192</v>
      </c>
      <c r="Z165" s="32" t="str">
        <f t="shared" si="8"/>
        <v>Insert  27x25 CM Die &amp; Pollar Cutting 300 Duplex Board</v>
      </c>
      <c r="AA165" s="32" t="str">
        <f t="shared" si="9"/>
        <v>Printed Matt  Insert  40X10.5 CM</v>
      </c>
      <c r="AB165" s="32" t="s">
        <v>850</v>
      </c>
    </row>
    <row r="166" spans="2:28" x14ac:dyDescent="0.25">
      <c r="B166" s="31" t="s">
        <v>6</v>
      </c>
      <c r="D166" s="32">
        <v>2003</v>
      </c>
      <c r="E166" s="31" t="s">
        <v>6</v>
      </c>
      <c r="F166" s="32" t="s">
        <v>248</v>
      </c>
      <c r="G166" s="32" t="s">
        <v>249</v>
      </c>
      <c r="H166" s="32" t="s">
        <v>97</v>
      </c>
      <c r="I166" s="35" t="s">
        <v>112</v>
      </c>
      <c r="J166" s="32" t="s">
        <v>93</v>
      </c>
      <c r="K166" s="34">
        <v>3</v>
      </c>
      <c r="L166" s="33"/>
      <c r="O166" s="32">
        <v>27</v>
      </c>
      <c r="P166" s="32">
        <v>27</v>
      </c>
      <c r="Q166" s="32" t="s">
        <v>94</v>
      </c>
      <c r="R166" s="34" t="s">
        <v>320</v>
      </c>
      <c r="T166" s="32" t="s">
        <v>321</v>
      </c>
      <c r="U166" s="32" t="s">
        <v>187</v>
      </c>
      <c r="V166" s="32">
        <v>300</v>
      </c>
      <c r="W166" s="32" t="s">
        <v>89</v>
      </c>
      <c r="X166" s="32" t="str">
        <f t="shared" si="7"/>
        <v>Printed Insert  27X27 CM</v>
      </c>
      <c r="Y166" s="33" t="s">
        <v>366</v>
      </c>
      <c r="Z166" s="32" t="str">
        <f t="shared" si="8"/>
        <v>Insert  27x27 CM Die &amp; Pollar Cutting 300 Duplex Board</v>
      </c>
      <c r="AA166" s="32" t="str">
        <f t="shared" si="9"/>
        <v>Printed Matt  Insert  42X10.5 CM</v>
      </c>
      <c r="AB166" s="32" t="s">
        <v>851</v>
      </c>
    </row>
    <row r="167" spans="2:28" x14ac:dyDescent="0.25">
      <c r="B167" s="31" t="s">
        <v>6</v>
      </c>
      <c r="D167" s="32">
        <v>2003</v>
      </c>
      <c r="E167" s="31" t="s">
        <v>6</v>
      </c>
      <c r="F167" s="32" t="s">
        <v>248</v>
      </c>
      <c r="G167" s="32" t="s">
        <v>249</v>
      </c>
      <c r="H167" s="32" t="s">
        <v>97</v>
      </c>
      <c r="I167" s="35" t="s">
        <v>112</v>
      </c>
      <c r="J167" s="32" t="s">
        <v>93</v>
      </c>
      <c r="K167" s="34">
        <v>1</v>
      </c>
      <c r="L167" s="33"/>
      <c r="O167" s="32">
        <v>17</v>
      </c>
      <c r="P167" s="32">
        <v>12.5</v>
      </c>
      <c r="Q167" s="32" t="s">
        <v>94</v>
      </c>
      <c r="R167" s="34" t="s">
        <v>320</v>
      </c>
      <c r="T167" s="32" t="s">
        <v>321</v>
      </c>
      <c r="U167" s="32" t="s">
        <v>187</v>
      </c>
      <c r="V167" s="32">
        <v>300</v>
      </c>
      <c r="W167" s="32" t="s">
        <v>89</v>
      </c>
      <c r="X167" s="32" t="str">
        <f t="shared" si="7"/>
        <v>Printed Insert  17X12.5 CM</v>
      </c>
      <c r="Y167" s="33" t="s">
        <v>193</v>
      </c>
      <c r="Z167" s="32" t="str">
        <f t="shared" si="8"/>
        <v>Insert  17x12.5 CM Die &amp; Pollar Cutting 300 Duplex Board</v>
      </c>
      <c r="AA167" s="32" t="str">
        <f t="shared" si="9"/>
        <v>Printed Matt  Insert  34.5X10.5 CM</v>
      </c>
      <c r="AB167" s="32" t="s">
        <v>852</v>
      </c>
    </row>
    <row r="168" spans="2:28" x14ac:dyDescent="0.25">
      <c r="B168" s="31" t="s">
        <v>6</v>
      </c>
      <c r="D168" s="32">
        <v>2003</v>
      </c>
      <c r="E168" s="31" t="s">
        <v>6</v>
      </c>
      <c r="F168" s="32" t="s">
        <v>248</v>
      </c>
      <c r="G168" s="32" t="s">
        <v>249</v>
      </c>
      <c r="H168" s="32" t="s">
        <v>97</v>
      </c>
      <c r="I168" s="35" t="s">
        <v>112</v>
      </c>
      <c r="J168" s="32" t="s">
        <v>93</v>
      </c>
      <c r="K168" s="34">
        <v>2</v>
      </c>
      <c r="L168" s="33"/>
      <c r="O168" s="32">
        <v>23.25</v>
      </c>
      <c r="P168" s="32">
        <v>12.5</v>
      </c>
      <c r="Q168" s="32" t="s">
        <v>94</v>
      </c>
      <c r="R168" s="34" t="s">
        <v>320</v>
      </c>
      <c r="T168" s="32" t="s">
        <v>321</v>
      </c>
      <c r="U168" s="32" t="s">
        <v>187</v>
      </c>
      <c r="V168" s="32">
        <v>300</v>
      </c>
      <c r="W168" s="32" t="s">
        <v>89</v>
      </c>
      <c r="X168" s="32" t="str">
        <f t="shared" si="7"/>
        <v>Printed Insert  23.25X12.5 CM</v>
      </c>
      <c r="Y168" s="33" t="s">
        <v>367</v>
      </c>
      <c r="Z168" s="32" t="str">
        <f t="shared" si="8"/>
        <v>Insert  23.25x12.5 CM Die &amp; Pollar Cutting 300 Duplex Board</v>
      </c>
      <c r="AA168" s="32" t="str">
        <f t="shared" si="9"/>
        <v>Printed Matt  Insert  33X10.5 CM</v>
      </c>
      <c r="AB168" s="32" t="s">
        <v>853</v>
      </c>
    </row>
    <row r="169" spans="2:28" x14ac:dyDescent="0.25">
      <c r="B169" s="31" t="s">
        <v>6</v>
      </c>
      <c r="D169" s="32">
        <v>2003</v>
      </c>
      <c r="E169" s="31" t="s">
        <v>6</v>
      </c>
      <c r="F169" s="32" t="s">
        <v>248</v>
      </c>
      <c r="G169" s="32" t="s">
        <v>249</v>
      </c>
      <c r="H169" s="32" t="s">
        <v>97</v>
      </c>
      <c r="I169" s="35" t="s">
        <v>112</v>
      </c>
      <c r="J169" s="32" t="s">
        <v>93</v>
      </c>
      <c r="K169" s="34">
        <v>2</v>
      </c>
      <c r="L169" s="33"/>
      <c r="O169" s="32">
        <v>22</v>
      </c>
      <c r="P169" s="32">
        <v>12.5</v>
      </c>
      <c r="Q169" s="32" t="s">
        <v>94</v>
      </c>
      <c r="R169" s="34" t="s">
        <v>320</v>
      </c>
      <c r="T169" s="32" t="s">
        <v>321</v>
      </c>
      <c r="U169" s="32" t="s">
        <v>187</v>
      </c>
      <c r="V169" s="32">
        <v>300</v>
      </c>
      <c r="W169" s="32" t="s">
        <v>89</v>
      </c>
      <c r="X169" s="32" t="str">
        <f t="shared" si="7"/>
        <v>Printed Insert  22X12.5 CM</v>
      </c>
      <c r="Y169" s="33" t="s">
        <v>368</v>
      </c>
      <c r="Z169" s="32" t="str">
        <f t="shared" si="8"/>
        <v>Insert  22x12.5 CM Die &amp; Pollar Cutting 300 Duplex Board</v>
      </c>
      <c r="AA169" s="32" t="str">
        <f t="shared" si="9"/>
        <v>Printed Matt  Insert  34X10.5 CM</v>
      </c>
      <c r="AB169" s="32" t="s">
        <v>854</v>
      </c>
    </row>
    <row r="170" spans="2:28" x14ac:dyDescent="0.25">
      <c r="B170" s="31" t="s">
        <v>6</v>
      </c>
      <c r="D170" s="32">
        <v>2003</v>
      </c>
      <c r="E170" s="31" t="s">
        <v>6</v>
      </c>
      <c r="F170" s="32" t="s">
        <v>248</v>
      </c>
      <c r="G170" s="32" t="s">
        <v>249</v>
      </c>
      <c r="H170" s="32" t="s">
        <v>97</v>
      </c>
      <c r="I170" s="35" t="s">
        <v>112</v>
      </c>
      <c r="J170" s="32" t="s">
        <v>93</v>
      </c>
      <c r="K170" s="34">
        <v>2</v>
      </c>
      <c r="L170" s="33"/>
      <c r="O170" s="32">
        <v>23</v>
      </c>
      <c r="P170" s="32">
        <v>12.5</v>
      </c>
      <c r="Q170" s="32" t="s">
        <v>94</v>
      </c>
      <c r="R170" s="34" t="s">
        <v>320</v>
      </c>
      <c r="T170" s="32" t="s">
        <v>321</v>
      </c>
      <c r="U170" s="32" t="s">
        <v>187</v>
      </c>
      <c r="V170" s="32">
        <v>300</v>
      </c>
      <c r="W170" s="32" t="s">
        <v>89</v>
      </c>
      <c r="X170" s="32" t="str">
        <f t="shared" si="7"/>
        <v>Printed Insert  23X12.5 CM</v>
      </c>
      <c r="Y170" s="33" t="s">
        <v>369</v>
      </c>
      <c r="Z170" s="32" t="str">
        <f t="shared" si="8"/>
        <v>Insert  23x12.5 CM Die &amp; Pollar Cutting 300 Duplex Board</v>
      </c>
      <c r="AA170" s="32" t="str">
        <f t="shared" si="9"/>
        <v>Printed Matt  Insert  35.5X10.5 CM</v>
      </c>
      <c r="AB170" s="32" t="s">
        <v>855</v>
      </c>
    </row>
    <row r="171" spans="2:28" x14ac:dyDescent="0.25">
      <c r="B171" s="31" t="s">
        <v>6</v>
      </c>
      <c r="D171" s="32">
        <v>2003</v>
      </c>
      <c r="E171" s="31" t="s">
        <v>6</v>
      </c>
      <c r="F171" s="32" t="s">
        <v>248</v>
      </c>
      <c r="G171" s="32" t="s">
        <v>249</v>
      </c>
      <c r="H171" s="32" t="s">
        <v>97</v>
      </c>
      <c r="I171" s="35" t="s">
        <v>112</v>
      </c>
      <c r="J171" s="32" t="s">
        <v>93</v>
      </c>
      <c r="K171" s="34">
        <v>5</v>
      </c>
      <c r="L171" s="33"/>
      <c r="O171" s="32">
        <v>36</v>
      </c>
      <c r="P171" s="32">
        <v>10.5</v>
      </c>
      <c r="Q171" s="32" t="s">
        <v>94</v>
      </c>
      <c r="R171" s="34" t="s">
        <v>320</v>
      </c>
      <c r="T171" s="32" t="s">
        <v>236</v>
      </c>
      <c r="U171" s="32" t="s">
        <v>237</v>
      </c>
      <c r="V171" s="32">
        <v>300</v>
      </c>
      <c r="W171" s="32" t="s">
        <v>89</v>
      </c>
      <c r="X171" s="32" t="str">
        <f t="shared" si="7"/>
        <v>Printed Insert  36X10.5 CM</v>
      </c>
      <c r="Y171" s="33" t="s">
        <v>370</v>
      </c>
      <c r="Z171" s="32" t="str">
        <f t="shared" si="8"/>
        <v>Insert  36x10.5 CM Die Cutting 300 Art Card</v>
      </c>
      <c r="AA171" s="32" t="str">
        <f t="shared" si="9"/>
        <v>Printed Matt  Insert  37.5X10.5 CM</v>
      </c>
      <c r="AB171" s="32" t="s">
        <v>856</v>
      </c>
    </row>
    <row r="172" spans="2:28" x14ac:dyDescent="0.25">
      <c r="B172" s="31" t="s">
        <v>6</v>
      </c>
      <c r="D172" s="32">
        <v>2003</v>
      </c>
      <c r="E172" s="31" t="s">
        <v>6</v>
      </c>
      <c r="F172" s="32" t="s">
        <v>248</v>
      </c>
      <c r="G172" s="32" t="s">
        <v>249</v>
      </c>
      <c r="H172" s="32" t="s">
        <v>97</v>
      </c>
      <c r="I172" s="35" t="s">
        <v>112</v>
      </c>
      <c r="J172" s="32" t="s">
        <v>93</v>
      </c>
      <c r="K172" s="34">
        <v>2</v>
      </c>
      <c r="L172" s="33"/>
      <c r="O172" s="32">
        <v>38</v>
      </c>
      <c r="P172" s="32">
        <v>10.5</v>
      </c>
      <c r="Q172" s="32" t="s">
        <v>94</v>
      </c>
      <c r="R172" s="34" t="s">
        <v>320</v>
      </c>
      <c r="T172" s="32" t="s">
        <v>236</v>
      </c>
      <c r="U172" s="32" t="s">
        <v>237</v>
      </c>
      <c r="V172" s="32">
        <v>300</v>
      </c>
      <c r="W172" s="32" t="s">
        <v>89</v>
      </c>
      <c r="X172" s="32" t="str">
        <f t="shared" si="7"/>
        <v>Printed Insert  38X10.5 CM</v>
      </c>
      <c r="Y172" s="33" t="s">
        <v>371</v>
      </c>
      <c r="Z172" s="32" t="str">
        <f t="shared" si="8"/>
        <v>Insert  38x10.5 CM Die Cutting 300 Art Card</v>
      </c>
      <c r="AA172" s="32" t="str">
        <f t="shared" si="9"/>
        <v>Printed Matt  Insert  37X10.5 CM</v>
      </c>
      <c r="AB172" s="32" t="s">
        <v>857</v>
      </c>
    </row>
    <row r="173" spans="2:28" x14ac:dyDescent="0.25">
      <c r="B173" s="31" t="s">
        <v>6</v>
      </c>
      <c r="D173" s="32">
        <v>2003</v>
      </c>
      <c r="E173" s="31" t="s">
        <v>6</v>
      </c>
      <c r="F173" s="32" t="s">
        <v>248</v>
      </c>
      <c r="G173" s="32" t="s">
        <v>249</v>
      </c>
      <c r="H173" s="32" t="s">
        <v>97</v>
      </c>
      <c r="I173" s="35" t="s">
        <v>112</v>
      </c>
      <c r="J173" s="32" t="s">
        <v>93</v>
      </c>
      <c r="K173" s="34">
        <v>2</v>
      </c>
      <c r="L173" s="33"/>
      <c r="O173" s="32">
        <v>40</v>
      </c>
      <c r="P173" s="32">
        <v>10.5</v>
      </c>
      <c r="Q173" s="32" t="s">
        <v>94</v>
      </c>
      <c r="R173" s="34" t="s">
        <v>320</v>
      </c>
      <c r="T173" s="32" t="s">
        <v>236</v>
      </c>
      <c r="U173" s="32" t="s">
        <v>237</v>
      </c>
      <c r="V173" s="32">
        <v>300</v>
      </c>
      <c r="W173" s="32" t="s">
        <v>89</v>
      </c>
      <c r="X173" s="32" t="str">
        <f t="shared" si="7"/>
        <v>Printed Insert  40X10.5 CM</v>
      </c>
      <c r="Y173" s="33" t="s">
        <v>372</v>
      </c>
      <c r="Z173" s="32" t="str">
        <f t="shared" si="8"/>
        <v>Insert  40x10.5 CM Die Cutting 300 Art Card</v>
      </c>
      <c r="AA173" s="32" t="str">
        <f t="shared" si="9"/>
        <v>Printed Matt  Insert  36.5X10.5 CM</v>
      </c>
      <c r="AB173" s="32" t="s">
        <v>858</v>
      </c>
    </row>
    <row r="174" spans="2:28" x14ac:dyDescent="0.25">
      <c r="B174" s="31" t="s">
        <v>6</v>
      </c>
      <c r="D174" s="32">
        <v>2003</v>
      </c>
      <c r="E174" s="31" t="s">
        <v>6</v>
      </c>
      <c r="F174" s="32" t="s">
        <v>248</v>
      </c>
      <c r="G174" s="32" t="s">
        <v>249</v>
      </c>
      <c r="H174" s="32" t="s">
        <v>97</v>
      </c>
      <c r="I174" s="35" t="s">
        <v>112</v>
      </c>
      <c r="J174" s="32" t="s">
        <v>93</v>
      </c>
      <c r="K174" s="34">
        <v>2</v>
      </c>
      <c r="L174" s="33"/>
      <c r="O174" s="32">
        <v>42</v>
      </c>
      <c r="P174" s="32">
        <v>10.5</v>
      </c>
      <c r="Q174" s="32" t="s">
        <v>94</v>
      </c>
      <c r="R174" s="34" t="s">
        <v>320</v>
      </c>
      <c r="T174" s="32" t="s">
        <v>236</v>
      </c>
      <c r="U174" s="32" t="s">
        <v>237</v>
      </c>
      <c r="V174" s="32">
        <v>300</v>
      </c>
      <c r="W174" s="32" t="s">
        <v>89</v>
      </c>
      <c r="X174" s="32" t="str">
        <f t="shared" si="7"/>
        <v>Printed Insert  42X10.5 CM</v>
      </c>
      <c r="Y174" s="33" t="s">
        <v>373</v>
      </c>
      <c r="Z174" s="32" t="str">
        <f t="shared" si="8"/>
        <v>Insert  42x10.5 CM Die Cutting 300 Art Card</v>
      </c>
      <c r="AA174" s="32" t="str">
        <f t="shared" si="9"/>
        <v>Printed Matt  Insert  38.5X10.5 CM</v>
      </c>
      <c r="AB174" s="32" t="s">
        <v>859</v>
      </c>
    </row>
    <row r="175" spans="2:28" x14ac:dyDescent="0.25">
      <c r="B175" s="31" t="s">
        <v>6</v>
      </c>
      <c r="D175" s="32">
        <v>2003</v>
      </c>
      <c r="E175" s="31" t="s">
        <v>6</v>
      </c>
      <c r="F175" s="32" t="s">
        <v>248</v>
      </c>
      <c r="G175" s="32" t="s">
        <v>249</v>
      </c>
      <c r="H175" s="32" t="s">
        <v>97</v>
      </c>
      <c r="I175" s="35" t="s">
        <v>112</v>
      </c>
      <c r="J175" s="32" t="s">
        <v>93</v>
      </c>
      <c r="K175" s="34">
        <v>2</v>
      </c>
      <c r="L175" s="33"/>
      <c r="O175" s="32">
        <v>34.5</v>
      </c>
      <c r="P175" s="32">
        <v>10.5</v>
      </c>
      <c r="Q175" s="32" t="s">
        <v>94</v>
      </c>
      <c r="R175" s="34" t="s">
        <v>320</v>
      </c>
      <c r="T175" s="32" t="s">
        <v>236</v>
      </c>
      <c r="U175" s="32" t="s">
        <v>237</v>
      </c>
      <c r="V175" s="32">
        <v>300</v>
      </c>
      <c r="W175" s="32" t="s">
        <v>89</v>
      </c>
      <c r="X175" s="32" t="str">
        <f t="shared" si="7"/>
        <v>Printed Insert  34.5X10.5 CM</v>
      </c>
      <c r="Y175" s="33" t="s">
        <v>374</v>
      </c>
      <c r="Z175" s="32" t="str">
        <f t="shared" si="8"/>
        <v>Insert  34.5x10.5 CM Die Cutting 300 Art Card</v>
      </c>
      <c r="AA175" s="32" t="str">
        <f t="shared" si="9"/>
        <v>Printed Matt  Insert  40.5X10.5 CM</v>
      </c>
      <c r="AB175" s="32" t="s">
        <v>860</v>
      </c>
    </row>
    <row r="176" spans="2:28" x14ac:dyDescent="0.25">
      <c r="B176" s="31" t="s">
        <v>6</v>
      </c>
      <c r="D176" s="32">
        <v>2003</v>
      </c>
      <c r="E176" s="31" t="s">
        <v>6</v>
      </c>
      <c r="F176" s="32" t="s">
        <v>248</v>
      </c>
      <c r="G176" s="32" t="s">
        <v>249</v>
      </c>
      <c r="H176" s="32" t="s">
        <v>97</v>
      </c>
      <c r="I176" s="35" t="s">
        <v>112</v>
      </c>
      <c r="J176" s="32" t="s">
        <v>93</v>
      </c>
      <c r="K176" s="34">
        <v>3</v>
      </c>
      <c r="L176" s="33"/>
      <c r="O176" s="32">
        <v>33</v>
      </c>
      <c r="P176" s="32">
        <v>10.5</v>
      </c>
      <c r="Q176" s="32" t="s">
        <v>94</v>
      </c>
      <c r="R176" s="34" t="s">
        <v>320</v>
      </c>
      <c r="T176" s="32" t="s">
        <v>236</v>
      </c>
      <c r="U176" s="32" t="s">
        <v>237</v>
      </c>
      <c r="V176" s="32">
        <v>300</v>
      </c>
      <c r="W176" s="32" t="s">
        <v>89</v>
      </c>
      <c r="X176" s="32" t="str">
        <f t="shared" si="7"/>
        <v>Printed Insert  33X10.5 CM</v>
      </c>
      <c r="Y176" s="33" t="s">
        <v>375</v>
      </c>
      <c r="Z176" s="32" t="str">
        <f t="shared" si="8"/>
        <v>Insert  33x10.5 CM Die Cutting 300 Art Card</v>
      </c>
      <c r="AA176" s="32" t="str">
        <f t="shared" si="9"/>
        <v>Printed Matt  Insert  42.5X10.5 CM</v>
      </c>
      <c r="AB176" s="32" t="s">
        <v>861</v>
      </c>
    </row>
    <row r="177" spans="2:28" x14ac:dyDescent="0.25">
      <c r="B177" s="31" t="s">
        <v>6</v>
      </c>
      <c r="D177" s="32">
        <v>2003</v>
      </c>
      <c r="E177" s="31" t="s">
        <v>6</v>
      </c>
      <c r="F177" s="32" t="s">
        <v>248</v>
      </c>
      <c r="G177" s="32" t="s">
        <v>249</v>
      </c>
      <c r="H177" s="32" t="s">
        <v>97</v>
      </c>
      <c r="I177" s="35" t="s">
        <v>112</v>
      </c>
      <c r="J177" s="32" t="s">
        <v>93</v>
      </c>
      <c r="K177" s="34">
        <v>2</v>
      </c>
      <c r="L177" s="33"/>
      <c r="O177" s="32">
        <v>34</v>
      </c>
      <c r="P177" s="32">
        <v>10.5</v>
      </c>
      <c r="Q177" s="32" t="s">
        <v>94</v>
      </c>
      <c r="R177" s="34" t="s">
        <v>320</v>
      </c>
      <c r="T177" s="32" t="s">
        <v>236</v>
      </c>
      <c r="U177" s="32" t="s">
        <v>237</v>
      </c>
      <c r="V177" s="32">
        <v>300</v>
      </c>
      <c r="W177" s="32" t="s">
        <v>89</v>
      </c>
      <c r="X177" s="32" t="str">
        <f t="shared" si="7"/>
        <v>Printed Insert  34X10.5 CM</v>
      </c>
      <c r="Y177" s="33" t="s">
        <v>376</v>
      </c>
      <c r="Z177" s="32" t="str">
        <f t="shared" si="8"/>
        <v>Insert  34x10.5 CM Die Cutting 300 Art Card</v>
      </c>
      <c r="AA177" s="32" t="str">
        <f t="shared" si="9"/>
        <v>Printed Matt  Booklet  20X12 inch</v>
      </c>
      <c r="AB177" s="32" t="s">
        <v>862</v>
      </c>
    </row>
    <row r="178" spans="2:28" x14ac:dyDescent="0.25">
      <c r="B178" s="31" t="s">
        <v>6</v>
      </c>
      <c r="D178" s="32">
        <v>2003</v>
      </c>
      <c r="E178" s="31" t="s">
        <v>6</v>
      </c>
      <c r="F178" s="32" t="s">
        <v>248</v>
      </c>
      <c r="G178" s="32" t="s">
        <v>249</v>
      </c>
      <c r="H178" s="32" t="s">
        <v>97</v>
      </c>
      <c r="I178" s="35" t="s">
        <v>112</v>
      </c>
      <c r="J178" s="32" t="s">
        <v>93</v>
      </c>
      <c r="K178" s="34">
        <v>2</v>
      </c>
      <c r="L178" s="33"/>
      <c r="O178" s="32">
        <v>35.5</v>
      </c>
      <c r="P178" s="32">
        <v>10.5</v>
      </c>
      <c r="Q178" s="32" t="s">
        <v>94</v>
      </c>
      <c r="R178" s="34" t="s">
        <v>320</v>
      </c>
      <c r="T178" s="32" t="s">
        <v>236</v>
      </c>
      <c r="U178" s="32" t="s">
        <v>237</v>
      </c>
      <c r="V178" s="32">
        <v>300</v>
      </c>
      <c r="W178" s="32" t="s">
        <v>89</v>
      </c>
      <c r="X178" s="32" t="str">
        <f t="shared" si="7"/>
        <v>Printed Insert  35.5X10.5 CM</v>
      </c>
      <c r="Y178" s="33" t="s">
        <v>377</v>
      </c>
      <c r="Z178" s="32" t="str">
        <f t="shared" si="8"/>
        <v>Insert  35.5x10.5 CM Die Cutting 300 Art Card</v>
      </c>
      <c r="AA178" s="32" t="str">
        <f t="shared" si="9"/>
        <v>Printed Matt  Booklet  14.5X10 inch</v>
      </c>
      <c r="AB178" s="32" t="s">
        <v>863</v>
      </c>
    </row>
    <row r="179" spans="2:28" x14ac:dyDescent="0.25">
      <c r="B179" s="31" t="s">
        <v>6</v>
      </c>
      <c r="D179" s="32">
        <v>2003</v>
      </c>
      <c r="E179" s="31" t="s">
        <v>6</v>
      </c>
      <c r="F179" s="32" t="s">
        <v>248</v>
      </c>
      <c r="G179" s="32" t="s">
        <v>249</v>
      </c>
      <c r="H179" s="32" t="s">
        <v>97</v>
      </c>
      <c r="I179" s="35" t="s">
        <v>112</v>
      </c>
      <c r="J179" s="32" t="s">
        <v>93</v>
      </c>
      <c r="K179" s="34">
        <v>2</v>
      </c>
      <c r="L179" s="33"/>
      <c r="O179" s="32">
        <v>37.5</v>
      </c>
      <c r="P179" s="32">
        <v>10.5</v>
      </c>
      <c r="Q179" s="32" t="s">
        <v>94</v>
      </c>
      <c r="R179" s="34" t="s">
        <v>320</v>
      </c>
      <c r="T179" s="32" t="s">
        <v>236</v>
      </c>
      <c r="U179" s="32" t="s">
        <v>237</v>
      </c>
      <c r="V179" s="32">
        <v>300</v>
      </c>
      <c r="W179" s="32" t="s">
        <v>89</v>
      </c>
      <c r="X179" s="32" t="str">
        <f t="shared" si="7"/>
        <v>Printed Insert  37.5X10.5 CM</v>
      </c>
      <c r="Y179" s="33" t="s">
        <v>378</v>
      </c>
      <c r="Z179" s="32" t="str">
        <f t="shared" si="8"/>
        <v>Insert  37.5x10.5 CM Die Cutting 300 Art Card</v>
      </c>
      <c r="AA179" s="32" t="str">
        <f t="shared" si="9"/>
        <v>Printed Matt  Insert  11X9.25 inch</v>
      </c>
      <c r="AB179" s="32" t="s">
        <v>864</v>
      </c>
    </row>
    <row r="180" spans="2:28" x14ac:dyDescent="0.25">
      <c r="B180" s="31" t="s">
        <v>6</v>
      </c>
      <c r="D180" s="32">
        <v>2003</v>
      </c>
      <c r="E180" s="31" t="s">
        <v>6</v>
      </c>
      <c r="F180" s="32" t="s">
        <v>248</v>
      </c>
      <c r="G180" s="32" t="s">
        <v>249</v>
      </c>
      <c r="H180" s="32" t="s">
        <v>97</v>
      </c>
      <c r="I180" s="35" t="s">
        <v>112</v>
      </c>
      <c r="J180" s="32" t="s">
        <v>93</v>
      </c>
      <c r="K180" s="34">
        <v>2</v>
      </c>
      <c r="L180" s="33"/>
      <c r="O180" s="32">
        <v>37</v>
      </c>
      <c r="P180" s="32">
        <v>10.5</v>
      </c>
      <c r="Q180" s="32" t="s">
        <v>94</v>
      </c>
      <c r="R180" s="34" t="s">
        <v>320</v>
      </c>
      <c r="T180" s="32" t="s">
        <v>236</v>
      </c>
      <c r="U180" s="32" t="s">
        <v>237</v>
      </c>
      <c r="V180" s="32">
        <v>300</v>
      </c>
      <c r="W180" s="32" t="s">
        <v>89</v>
      </c>
      <c r="X180" s="32" t="str">
        <f t="shared" si="7"/>
        <v>Printed Insert  37X10.5 CM</v>
      </c>
      <c r="Y180" s="33" t="s">
        <v>379</v>
      </c>
      <c r="Z180" s="32" t="str">
        <f t="shared" si="8"/>
        <v>Insert  37x10.5 CM Die Cutting 300 Art Card</v>
      </c>
      <c r="AA180" s="32" t="str">
        <f t="shared" si="9"/>
        <v>Printed Matt  Insert  22X12 inch</v>
      </c>
      <c r="AB180" s="32" t="s">
        <v>865</v>
      </c>
    </row>
    <row r="181" spans="2:28" x14ac:dyDescent="0.25">
      <c r="B181" s="31" t="s">
        <v>6</v>
      </c>
      <c r="D181" s="32">
        <v>2003</v>
      </c>
      <c r="E181" s="31" t="s">
        <v>6</v>
      </c>
      <c r="F181" s="32" t="s">
        <v>248</v>
      </c>
      <c r="G181" s="32" t="s">
        <v>249</v>
      </c>
      <c r="H181" s="32" t="s">
        <v>97</v>
      </c>
      <c r="I181" s="35" t="s">
        <v>112</v>
      </c>
      <c r="J181" s="32" t="s">
        <v>93</v>
      </c>
      <c r="K181" s="34">
        <v>5</v>
      </c>
      <c r="L181" s="33"/>
      <c r="O181" s="32">
        <v>36.5</v>
      </c>
      <c r="P181" s="32">
        <v>10.5</v>
      </c>
      <c r="Q181" s="32" t="s">
        <v>94</v>
      </c>
      <c r="R181" s="34" t="s">
        <v>320</v>
      </c>
      <c r="T181" s="32" t="s">
        <v>236</v>
      </c>
      <c r="U181" s="32" t="s">
        <v>237</v>
      </c>
      <c r="V181" s="32">
        <v>300</v>
      </c>
      <c r="W181" s="32" t="s">
        <v>89</v>
      </c>
      <c r="X181" s="32" t="str">
        <f t="shared" si="7"/>
        <v>Printed Insert  36.5X10.5 CM</v>
      </c>
      <c r="Y181" s="31" t="s">
        <v>380</v>
      </c>
      <c r="Z181" s="32" t="str">
        <f t="shared" si="8"/>
        <v>Insert  36.5x10.5 CM Die Cutting 300 Art Card</v>
      </c>
      <c r="AA181" s="32" t="str">
        <f t="shared" si="9"/>
        <v>Printed Matt  Insert  14X8.8 inch</v>
      </c>
      <c r="AB181" s="32" t="s">
        <v>866</v>
      </c>
    </row>
    <row r="182" spans="2:28" x14ac:dyDescent="0.25">
      <c r="B182" s="31" t="s">
        <v>6</v>
      </c>
      <c r="D182" s="32">
        <v>2003</v>
      </c>
      <c r="E182" s="31" t="s">
        <v>6</v>
      </c>
      <c r="F182" s="32" t="s">
        <v>248</v>
      </c>
      <c r="G182" s="32" t="s">
        <v>249</v>
      </c>
      <c r="H182" s="32" t="s">
        <v>97</v>
      </c>
      <c r="I182" s="35" t="s">
        <v>112</v>
      </c>
      <c r="J182" s="32" t="s">
        <v>93</v>
      </c>
      <c r="K182" s="34">
        <v>5</v>
      </c>
      <c r="L182" s="33"/>
      <c r="O182" s="32">
        <v>38.5</v>
      </c>
      <c r="P182" s="32">
        <v>10.5</v>
      </c>
      <c r="Q182" s="32" t="s">
        <v>94</v>
      </c>
      <c r="R182" s="34" t="s">
        <v>320</v>
      </c>
      <c r="T182" s="32" t="s">
        <v>236</v>
      </c>
      <c r="U182" s="32" t="s">
        <v>237</v>
      </c>
      <c r="V182" s="32">
        <v>300</v>
      </c>
      <c r="W182" s="32" t="s">
        <v>89</v>
      </c>
      <c r="X182" s="32" t="str">
        <f t="shared" si="7"/>
        <v>Printed Insert  38.5X10.5 CM</v>
      </c>
      <c r="Y182" s="33" t="s">
        <v>381</v>
      </c>
      <c r="Z182" s="32" t="str">
        <f t="shared" si="8"/>
        <v>Insert  38.5x10.5 CM Die Cutting 300 Art Card</v>
      </c>
      <c r="AA182" s="32" t="str">
        <f t="shared" si="9"/>
        <v>Printed Matt  Insert  14X11 inch</v>
      </c>
      <c r="AB182" s="32" t="s">
        <v>867</v>
      </c>
    </row>
    <row r="183" spans="2:28" x14ac:dyDescent="0.25">
      <c r="B183" s="31" t="s">
        <v>6</v>
      </c>
      <c r="D183" s="32">
        <v>2003</v>
      </c>
      <c r="E183" s="31" t="s">
        <v>6</v>
      </c>
      <c r="F183" s="32" t="s">
        <v>248</v>
      </c>
      <c r="G183" s="32" t="s">
        <v>249</v>
      </c>
      <c r="H183" s="32" t="s">
        <v>97</v>
      </c>
      <c r="I183" s="35" t="s">
        <v>112</v>
      </c>
      <c r="J183" s="32" t="s">
        <v>93</v>
      </c>
      <c r="K183" s="34">
        <v>5</v>
      </c>
      <c r="L183" s="33"/>
      <c r="O183" s="32">
        <v>40.5</v>
      </c>
      <c r="P183" s="32">
        <v>10.5</v>
      </c>
      <c r="Q183" s="32" t="s">
        <v>94</v>
      </c>
      <c r="R183" s="34" t="s">
        <v>320</v>
      </c>
      <c r="T183" s="32" t="s">
        <v>236</v>
      </c>
      <c r="U183" s="32" t="s">
        <v>237</v>
      </c>
      <c r="V183" s="32">
        <v>300</v>
      </c>
      <c r="W183" s="32" t="s">
        <v>89</v>
      </c>
      <c r="X183" s="32" t="str">
        <f t="shared" si="7"/>
        <v>Printed Insert  40.5X10.5 CM</v>
      </c>
      <c r="Y183" s="33" t="s">
        <v>382</v>
      </c>
      <c r="Z183" s="32" t="str">
        <f t="shared" si="8"/>
        <v>Insert  40.5x10.5 CM Die Cutting 300 Art Card</v>
      </c>
      <c r="AA183" s="32" t="str">
        <f t="shared" si="9"/>
        <v>Printed Matt  Insert  8.75X7 inch</v>
      </c>
      <c r="AB183" s="32" t="s">
        <v>868</v>
      </c>
    </row>
    <row r="184" spans="2:28" x14ac:dyDescent="0.25">
      <c r="B184" s="31" t="s">
        <v>6</v>
      </c>
      <c r="D184" s="32">
        <v>2003</v>
      </c>
      <c r="E184" s="31" t="s">
        <v>6</v>
      </c>
      <c r="F184" s="32" t="s">
        <v>248</v>
      </c>
      <c r="G184" s="32" t="s">
        <v>249</v>
      </c>
      <c r="H184" s="32" t="s">
        <v>97</v>
      </c>
      <c r="I184" s="35" t="s">
        <v>112</v>
      </c>
      <c r="J184" s="32" t="s">
        <v>93</v>
      </c>
      <c r="K184" s="34">
        <v>5</v>
      </c>
      <c r="L184" s="33"/>
      <c r="O184" s="32">
        <v>42.5</v>
      </c>
      <c r="P184" s="32">
        <v>10.5</v>
      </c>
      <c r="Q184" s="32" t="s">
        <v>94</v>
      </c>
      <c r="R184" s="34" t="s">
        <v>320</v>
      </c>
      <c r="T184" s="32" t="s">
        <v>236</v>
      </c>
      <c r="U184" s="32" t="s">
        <v>237</v>
      </c>
      <c r="V184" s="32">
        <v>300</v>
      </c>
      <c r="W184" s="32" t="s">
        <v>89</v>
      </c>
      <c r="X184" s="32" t="str">
        <f t="shared" si="7"/>
        <v>Printed Insert  42.5X10.5 CM</v>
      </c>
      <c r="Y184" s="33" t="s">
        <v>383</v>
      </c>
      <c r="Z184" s="32" t="str">
        <f t="shared" si="8"/>
        <v>Insert  42.5x10.5 CM Die Cutting 300 Art Card</v>
      </c>
      <c r="AA184" s="32" t="str">
        <f t="shared" si="9"/>
        <v>Printed Matt  Insert  17X7 inch</v>
      </c>
      <c r="AB184" s="32" t="s">
        <v>869</v>
      </c>
    </row>
    <row r="185" spans="2:28" x14ac:dyDescent="0.25">
      <c r="B185" s="31" t="s">
        <v>6</v>
      </c>
      <c r="D185" s="32">
        <v>2003</v>
      </c>
      <c r="E185" s="31" t="s">
        <v>6</v>
      </c>
      <c r="F185" s="32" t="s">
        <v>248</v>
      </c>
      <c r="G185" s="32" t="s">
        <v>249</v>
      </c>
      <c r="H185" s="32" t="s">
        <v>97</v>
      </c>
      <c r="I185" s="31" t="s">
        <v>322</v>
      </c>
      <c r="J185" s="32" t="s">
        <v>93</v>
      </c>
      <c r="K185" s="34">
        <v>1</v>
      </c>
      <c r="L185" s="31"/>
      <c r="O185" s="34">
        <v>20</v>
      </c>
      <c r="P185" s="34">
        <v>12</v>
      </c>
      <c r="Q185" s="34" t="s">
        <v>323</v>
      </c>
      <c r="R185" s="34"/>
      <c r="S185" s="34"/>
      <c r="T185" s="34" t="s">
        <v>119</v>
      </c>
      <c r="U185" s="34" t="s">
        <v>185</v>
      </c>
      <c r="V185" s="34">
        <v>80</v>
      </c>
      <c r="W185" s="34" t="s">
        <v>89</v>
      </c>
      <c r="X185" s="32" t="str">
        <f t="shared" ref="X185:X248" si="10">CONCATENATE(J185," ",I185," ",O185,"X",P185," ",Q185)</f>
        <v>Printed Booklet  20X12 inch</v>
      </c>
      <c r="Y185" s="31" t="s">
        <v>384</v>
      </c>
      <c r="Z185" s="32" t="str">
        <f t="shared" si="8"/>
        <v>Booklet  20x12 inch Pollar Cutting 80 Offset Paper</v>
      </c>
      <c r="AA185" s="32" t="str">
        <f t="shared" si="9"/>
        <v>Printed  Plastic Band Roll  28X11 inch</v>
      </c>
      <c r="AB185" s="32" t="s">
        <v>870</v>
      </c>
    </row>
    <row r="186" spans="2:28" x14ac:dyDescent="0.25">
      <c r="B186" s="31" t="s">
        <v>6</v>
      </c>
      <c r="D186" s="32">
        <v>2003</v>
      </c>
      <c r="E186" s="31" t="s">
        <v>6</v>
      </c>
      <c r="F186" s="32" t="s">
        <v>248</v>
      </c>
      <c r="G186" s="32" t="s">
        <v>249</v>
      </c>
      <c r="H186" s="32" t="s">
        <v>97</v>
      </c>
      <c r="I186" s="31" t="s">
        <v>322</v>
      </c>
      <c r="J186" s="32" t="s">
        <v>93</v>
      </c>
      <c r="K186" s="34">
        <v>1</v>
      </c>
      <c r="L186" s="31"/>
      <c r="O186" s="34">
        <v>14.5</v>
      </c>
      <c r="P186" s="34">
        <v>10</v>
      </c>
      <c r="Q186" s="34" t="s">
        <v>323</v>
      </c>
      <c r="R186" s="34"/>
      <c r="S186" s="34"/>
      <c r="T186" s="34" t="s">
        <v>119</v>
      </c>
      <c r="U186" s="34" t="s">
        <v>185</v>
      </c>
      <c r="V186" s="34">
        <v>80</v>
      </c>
      <c r="W186" s="34" t="s">
        <v>89</v>
      </c>
      <c r="X186" s="32" t="str">
        <f t="shared" si="10"/>
        <v>Printed Booklet  14.5X10 inch</v>
      </c>
      <c r="Y186" s="31" t="s">
        <v>385</v>
      </c>
      <c r="Z186" s="32" t="str">
        <f t="shared" si="8"/>
        <v>Booklet  14.5x10 inch Pollar Cutting 80 Offset Paper</v>
      </c>
      <c r="AA186" s="32" t="str">
        <f t="shared" si="9"/>
        <v>Printed  Plastic Band Roll 12.75X9.25 inch</v>
      </c>
      <c r="AB186" s="32" t="s">
        <v>871</v>
      </c>
    </row>
    <row r="187" spans="2:28" x14ac:dyDescent="0.25">
      <c r="B187" s="31" t="s">
        <v>6</v>
      </c>
      <c r="D187" s="32">
        <v>2003</v>
      </c>
      <c r="E187" s="31" t="s">
        <v>6</v>
      </c>
      <c r="F187" s="32" t="s">
        <v>248</v>
      </c>
      <c r="G187" s="32" t="s">
        <v>249</v>
      </c>
      <c r="H187" s="32" t="s">
        <v>97</v>
      </c>
      <c r="I187" s="35" t="s">
        <v>112</v>
      </c>
      <c r="J187" s="32" t="s">
        <v>93</v>
      </c>
      <c r="K187" s="34">
        <v>4</v>
      </c>
      <c r="L187" s="31"/>
      <c r="O187" s="34">
        <v>11</v>
      </c>
      <c r="P187" s="34">
        <v>9.25</v>
      </c>
      <c r="Q187" s="34" t="s">
        <v>323</v>
      </c>
      <c r="R187" s="34"/>
      <c r="S187" s="34"/>
      <c r="T187" s="34" t="s">
        <v>321</v>
      </c>
      <c r="U187" s="32" t="s">
        <v>110</v>
      </c>
      <c r="V187" s="34">
        <v>300</v>
      </c>
      <c r="W187" s="34" t="s">
        <v>89</v>
      </c>
      <c r="X187" s="32" t="str">
        <f t="shared" si="10"/>
        <v>Printed Insert  11X9.25 inch</v>
      </c>
      <c r="Y187" s="31" t="s">
        <v>386</v>
      </c>
      <c r="Z187" s="32" t="str">
        <f t="shared" si="8"/>
        <v>Insert  11x9.25 inch Die &amp; Pollar Cutting 300 Swedish Board</v>
      </c>
      <c r="AA187" s="32" t="str">
        <f t="shared" si="9"/>
        <v>Printed  Plastic Band Roll  20.5X9.25 inch</v>
      </c>
      <c r="AB187" s="32" t="s">
        <v>872</v>
      </c>
    </row>
    <row r="188" spans="2:28" x14ac:dyDescent="0.25">
      <c r="B188" s="31" t="s">
        <v>6</v>
      </c>
      <c r="D188" s="32">
        <v>2003</v>
      </c>
      <c r="E188" s="31" t="s">
        <v>6</v>
      </c>
      <c r="F188" s="32" t="s">
        <v>248</v>
      </c>
      <c r="G188" s="32" t="s">
        <v>249</v>
      </c>
      <c r="H188" s="32" t="s">
        <v>97</v>
      </c>
      <c r="I188" s="35" t="s">
        <v>112</v>
      </c>
      <c r="J188" s="32" t="s">
        <v>93</v>
      </c>
      <c r="K188" s="34">
        <v>4</v>
      </c>
      <c r="L188" s="31"/>
      <c r="O188" s="34">
        <v>22</v>
      </c>
      <c r="P188" s="34">
        <v>12</v>
      </c>
      <c r="Q188" s="34" t="s">
        <v>323</v>
      </c>
      <c r="R188" s="34"/>
      <c r="S188" s="34"/>
      <c r="T188" s="34" t="s">
        <v>321</v>
      </c>
      <c r="U188" s="32" t="s">
        <v>110</v>
      </c>
      <c r="V188" s="34">
        <v>300</v>
      </c>
      <c r="W188" s="34" t="s">
        <v>89</v>
      </c>
      <c r="X188" s="32" t="str">
        <f t="shared" si="10"/>
        <v>Printed Insert  22X12 inch</v>
      </c>
      <c r="Y188" s="31" t="s">
        <v>387</v>
      </c>
      <c r="Z188" s="32" t="str">
        <f t="shared" si="8"/>
        <v>Insert  22x12 inch Die &amp; Pollar Cutting 300 Swedish Board</v>
      </c>
      <c r="AA188" s="32" t="str">
        <f t="shared" si="9"/>
        <v>Printed  Insert Baner 57X15 CM</v>
      </c>
      <c r="AB188" s="32" t="s">
        <v>873</v>
      </c>
    </row>
    <row r="189" spans="2:28" x14ac:dyDescent="0.25">
      <c r="B189" s="31" t="s">
        <v>6</v>
      </c>
      <c r="D189" s="32">
        <v>2003</v>
      </c>
      <c r="E189" s="31" t="s">
        <v>6</v>
      </c>
      <c r="F189" s="32" t="s">
        <v>248</v>
      </c>
      <c r="G189" s="32" t="s">
        <v>249</v>
      </c>
      <c r="H189" s="32" t="s">
        <v>97</v>
      </c>
      <c r="I189" s="35" t="s">
        <v>112</v>
      </c>
      <c r="J189" s="32" t="s">
        <v>93</v>
      </c>
      <c r="K189" s="34">
        <v>4</v>
      </c>
      <c r="L189" s="31"/>
      <c r="O189" s="34">
        <v>14</v>
      </c>
      <c r="P189" s="34">
        <v>8.8000000000000007</v>
      </c>
      <c r="Q189" s="34" t="s">
        <v>323</v>
      </c>
      <c r="R189" s="34"/>
      <c r="S189" s="34"/>
      <c r="T189" s="34" t="s">
        <v>321</v>
      </c>
      <c r="U189" s="32" t="s">
        <v>110</v>
      </c>
      <c r="V189" s="34">
        <v>300</v>
      </c>
      <c r="W189" s="34" t="s">
        <v>89</v>
      </c>
      <c r="X189" s="32" t="str">
        <f t="shared" si="10"/>
        <v>Printed Insert  14X8.8 inch</v>
      </c>
      <c r="Y189" s="31" t="s">
        <v>111</v>
      </c>
      <c r="Z189" s="32" t="str">
        <f t="shared" si="8"/>
        <v>Insert  14x8.8 inch Die &amp; Pollar Cutting 300 Swedish Board</v>
      </c>
      <c r="AA189" s="32" t="str">
        <f t="shared" si="9"/>
        <v>Printed  Insert Baner 59.5X15 CM</v>
      </c>
      <c r="AB189" s="32" t="s">
        <v>874</v>
      </c>
    </row>
    <row r="190" spans="2:28" x14ac:dyDescent="0.25">
      <c r="B190" s="31" t="s">
        <v>6</v>
      </c>
      <c r="D190" s="32">
        <v>2003</v>
      </c>
      <c r="E190" s="31" t="s">
        <v>6</v>
      </c>
      <c r="F190" s="32" t="s">
        <v>248</v>
      </c>
      <c r="G190" s="32" t="s">
        <v>249</v>
      </c>
      <c r="H190" s="32" t="s">
        <v>97</v>
      </c>
      <c r="I190" s="35" t="s">
        <v>112</v>
      </c>
      <c r="J190" s="32" t="s">
        <v>93</v>
      </c>
      <c r="K190" s="34">
        <v>4</v>
      </c>
      <c r="L190" s="31"/>
      <c r="O190" s="34">
        <v>14</v>
      </c>
      <c r="P190" s="34">
        <v>11</v>
      </c>
      <c r="Q190" s="34" t="s">
        <v>323</v>
      </c>
      <c r="R190" s="34"/>
      <c r="S190" s="34"/>
      <c r="T190" s="34" t="s">
        <v>321</v>
      </c>
      <c r="U190" s="32" t="s">
        <v>110</v>
      </c>
      <c r="V190" s="34">
        <v>300</v>
      </c>
      <c r="W190" s="34" t="s">
        <v>89</v>
      </c>
      <c r="X190" s="32" t="str">
        <f t="shared" si="10"/>
        <v>Printed Insert  14X11 inch</v>
      </c>
      <c r="Y190" s="31" t="s">
        <v>388</v>
      </c>
      <c r="Z190" s="32" t="str">
        <f t="shared" si="8"/>
        <v>Insert  14x11 inch Die &amp; Pollar Cutting 300 Swedish Board</v>
      </c>
      <c r="AA190" s="32" t="str">
        <f t="shared" si="9"/>
        <v>Printed  Insert Baner 60.5X15 CM</v>
      </c>
      <c r="AB190" s="32" t="s">
        <v>875</v>
      </c>
    </row>
    <row r="191" spans="2:28" x14ac:dyDescent="0.25">
      <c r="B191" s="31" t="s">
        <v>6</v>
      </c>
      <c r="D191" s="32">
        <v>2003</v>
      </c>
      <c r="E191" s="31" t="s">
        <v>6</v>
      </c>
      <c r="F191" s="32" t="s">
        <v>248</v>
      </c>
      <c r="G191" s="32" t="s">
        <v>249</v>
      </c>
      <c r="H191" s="32" t="s">
        <v>97</v>
      </c>
      <c r="I191" s="35" t="s">
        <v>112</v>
      </c>
      <c r="J191" s="32" t="s">
        <v>93</v>
      </c>
      <c r="K191" s="34">
        <v>4</v>
      </c>
      <c r="L191" s="31"/>
      <c r="O191" s="34">
        <v>8.75</v>
      </c>
      <c r="P191" s="34">
        <v>7</v>
      </c>
      <c r="Q191" s="34" t="s">
        <v>323</v>
      </c>
      <c r="R191" s="34"/>
      <c r="S191" s="34"/>
      <c r="T191" s="34" t="s">
        <v>321</v>
      </c>
      <c r="U191" s="32" t="s">
        <v>110</v>
      </c>
      <c r="V191" s="34">
        <v>300</v>
      </c>
      <c r="W191" s="34" t="s">
        <v>89</v>
      </c>
      <c r="X191" s="32" t="str">
        <f t="shared" si="10"/>
        <v>Printed Insert  8.75X7 inch</v>
      </c>
      <c r="Y191" s="31" t="s">
        <v>115</v>
      </c>
      <c r="Z191" s="32" t="str">
        <f t="shared" si="8"/>
        <v>Insert  8.75x7 inch Die &amp; Pollar Cutting 300 Swedish Board</v>
      </c>
      <c r="AA191" s="32" t="str">
        <f t="shared" si="9"/>
        <v>Printed  Insert Baner 61X15 CM</v>
      </c>
      <c r="AB191" s="32" t="s">
        <v>876</v>
      </c>
    </row>
    <row r="192" spans="2:28" x14ac:dyDescent="0.25">
      <c r="B192" s="31" t="s">
        <v>6</v>
      </c>
      <c r="D192" s="32">
        <v>2003</v>
      </c>
      <c r="E192" s="31" t="s">
        <v>6</v>
      </c>
      <c r="F192" s="32" t="s">
        <v>248</v>
      </c>
      <c r="G192" s="32" t="s">
        <v>249</v>
      </c>
      <c r="H192" s="32" t="s">
        <v>97</v>
      </c>
      <c r="I192" s="35" t="s">
        <v>112</v>
      </c>
      <c r="J192" s="32" t="s">
        <v>93</v>
      </c>
      <c r="K192" s="34">
        <v>4</v>
      </c>
      <c r="L192" s="31"/>
      <c r="O192" s="34">
        <v>17</v>
      </c>
      <c r="P192" s="34">
        <v>7</v>
      </c>
      <c r="Q192" s="34" t="s">
        <v>323</v>
      </c>
      <c r="R192" s="34"/>
      <c r="S192" s="34"/>
      <c r="T192" s="34" t="s">
        <v>321</v>
      </c>
      <c r="U192" s="32" t="s">
        <v>110</v>
      </c>
      <c r="V192" s="34">
        <v>300</v>
      </c>
      <c r="W192" s="34" t="s">
        <v>89</v>
      </c>
      <c r="X192" s="32" t="str">
        <f t="shared" si="10"/>
        <v>Printed Insert  17X7 inch</v>
      </c>
      <c r="Y192" s="31" t="s">
        <v>116</v>
      </c>
      <c r="Z192" s="32" t="str">
        <f t="shared" si="8"/>
        <v>Insert  17x7 inch Die &amp; Pollar Cutting 300 Swedish Board</v>
      </c>
      <c r="AA192" s="32" t="str">
        <f t="shared" si="9"/>
        <v>Printed  Insert Baner 53X10 CM</v>
      </c>
      <c r="AB192" s="32" t="s">
        <v>877</v>
      </c>
    </row>
    <row r="193" spans="2:28" x14ac:dyDescent="0.25">
      <c r="B193" s="31" t="s">
        <v>6</v>
      </c>
      <c r="D193" s="32">
        <v>2003</v>
      </c>
      <c r="E193" s="31" t="s">
        <v>6</v>
      </c>
      <c r="F193" s="32" t="s">
        <v>248</v>
      </c>
      <c r="G193" s="32" t="s">
        <v>249</v>
      </c>
      <c r="H193" s="32" t="s">
        <v>97</v>
      </c>
      <c r="I193" s="31" t="s">
        <v>324</v>
      </c>
      <c r="J193" s="32" t="s">
        <v>93</v>
      </c>
      <c r="K193" s="34">
        <v>4</v>
      </c>
      <c r="L193" s="31"/>
      <c r="O193" s="34">
        <v>28</v>
      </c>
      <c r="P193" s="34">
        <v>11</v>
      </c>
      <c r="Q193" s="34" t="s">
        <v>323</v>
      </c>
      <c r="R193" s="34"/>
      <c r="S193" s="34"/>
      <c r="T193" s="34" t="s">
        <v>119</v>
      </c>
      <c r="U193" s="34" t="s">
        <v>325</v>
      </c>
      <c r="V193" s="34">
        <v>150</v>
      </c>
      <c r="W193" s="34" t="s">
        <v>89</v>
      </c>
      <c r="X193" s="32" t="str">
        <f t="shared" si="10"/>
        <v>Printed Plastic Band Roll  28X11 inch</v>
      </c>
      <c r="Y193" s="31" t="s">
        <v>107</v>
      </c>
      <c r="Z193" s="32" t="str">
        <f t="shared" si="8"/>
        <v>Plastic Band Roll  28x11 inch Pollar Cutting 150 Palstic Card</v>
      </c>
      <c r="AA193" s="32" t="str">
        <f t="shared" si="9"/>
        <v>Printed  Insert Baner 67X15 CM</v>
      </c>
      <c r="AB193" s="32" t="s">
        <v>878</v>
      </c>
    </row>
    <row r="194" spans="2:28" x14ac:dyDescent="0.25">
      <c r="B194" s="31" t="s">
        <v>6</v>
      </c>
      <c r="D194" s="32">
        <v>2003</v>
      </c>
      <c r="E194" s="31" t="s">
        <v>6</v>
      </c>
      <c r="F194" s="32" t="s">
        <v>248</v>
      </c>
      <c r="G194" s="32" t="s">
        <v>249</v>
      </c>
      <c r="H194" s="32" t="s">
        <v>97</v>
      </c>
      <c r="I194" s="31" t="s">
        <v>105</v>
      </c>
      <c r="J194" s="32" t="s">
        <v>93</v>
      </c>
      <c r="K194" s="34">
        <v>4</v>
      </c>
      <c r="L194" s="31"/>
      <c r="O194" s="34">
        <v>12.75</v>
      </c>
      <c r="P194" s="34">
        <v>9.25</v>
      </c>
      <c r="Q194" s="34" t="s">
        <v>323</v>
      </c>
      <c r="R194" s="34"/>
      <c r="S194" s="34"/>
      <c r="T194" s="34" t="s">
        <v>119</v>
      </c>
      <c r="U194" s="34" t="s">
        <v>325</v>
      </c>
      <c r="V194" s="34">
        <v>150</v>
      </c>
      <c r="W194" s="34" t="s">
        <v>89</v>
      </c>
      <c r="X194" s="32" t="str">
        <f t="shared" si="10"/>
        <v>Printed Plastic Band Roll 12.75X9.25 inch</v>
      </c>
      <c r="Y194" s="31" t="s">
        <v>389</v>
      </c>
      <c r="Z194" s="32" t="str">
        <f t="shared" si="8"/>
        <v>Plastic Band Roll 12.75x9.25 inch Pollar Cutting 150 Palstic Card</v>
      </c>
      <c r="AA194" s="32" t="str">
        <f t="shared" si="9"/>
        <v>Printed  Insert Baner 71X15 CM</v>
      </c>
      <c r="AB194" s="32" t="s">
        <v>879</v>
      </c>
    </row>
    <row r="195" spans="2:28" x14ac:dyDescent="0.25">
      <c r="B195" s="31" t="s">
        <v>6</v>
      </c>
      <c r="D195" s="32">
        <v>2003</v>
      </c>
      <c r="E195" s="31" t="s">
        <v>6</v>
      </c>
      <c r="F195" s="32" t="s">
        <v>248</v>
      </c>
      <c r="G195" s="32" t="s">
        <v>249</v>
      </c>
      <c r="H195" s="32" t="s">
        <v>97</v>
      </c>
      <c r="I195" s="31" t="s">
        <v>324</v>
      </c>
      <c r="J195" s="32" t="s">
        <v>93</v>
      </c>
      <c r="K195" s="34">
        <v>4</v>
      </c>
      <c r="L195" s="31"/>
      <c r="O195" s="34">
        <v>20.5</v>
      </c>
      <c r="P195" s="34">
        <v>9.25</v>
      </c>
      <c r="Q195" s="34" t="s">
        <v>323</v>
      </c>
      <c r="R195" s="34"/>
      <c r="S195" s="34"/>
      <c r="T195" s="34" t="s">
        <v>119</v>
      </c>
      <c r="U195" s="34" t="s">
        <v>325</v>
      </c>
      <c r="V195" s="34">
        <v>150</v>
      </c>
      <c r="W195" s="34" t="s">
        <v>89</v>
      </c>
      <c r="X195" s="32" t="str">
        <f t="shared" si="10"/>
        <v>Printed Plastic Band Roll  20.5X9.25 inch</v>
      </c>
      <c r="Y195" s="31" t="s">
        <v>390</v>
      </c>
      <c r="Z195" s="32" t="str">
        <f t="shared" ref="Z195:Z258" si="11">CONCATENATE(I195," ",O195,"x",P195," ",Q195," ",T195," ",V195," ",U195)</f>
        <v>Plastic Band Roll  20.5x9.25 inch Pollar Cutting 150 Palstic Card</v>
      </c>
      <c r="AA195" s="32" t="str">
        <f t="shared" ref="AA195:AA258" si="12">CONCATENATE(J203," ",R195," ",I203," ",O203,"X",P203," ",Q203)</f>
        <v>Printed  Insert Baner 75X15 CM</v>
      </c>
      <c r="AB195" s="32" t="s">
        <v>880</v>
      </c>
    </row>
    <row r="196" spans="2:28" x14ac:dyDescent="0.25">
      <c r="B196" s="31" t="s">
        <v>6</v>
      </c>
      <c r="D196" s="32">
        <v>2003</v>
      </c>
      <c r="E196" s="31" t="s">
        <v>6</v>
      </c>
      <c r="F196" s="32" t="s">
        <v>248</v>
      </c>
      <c r="G196" s="32" t="s">
        <v>249</v>
      </c>
      <c r="H196" s="32" t="s">
        <v>97</v>
      </c>
      <c r="I196" s="31" t="s">
        <v>310</v>
      </c>
      <c r="J196" s="32" t="s">
        <v>93</v>
      </c>
      <c r="K196" s="34">
        <v>6</v>
      </c>
      <c r="L196" s="31"/>
      <c r="O196" s="32">
        <v>57</v>
      </c>
      <c r="P196" s="32">
        <v>15</v>
      </c>
      <c r="Q196" s="32" t="s">
        <v>94</v>
      </c>
      <c r="R196" s="34"/>
      <c r="S196" s="32" t="s">
        <v>166</v>
      </c>
      <c r="T196" s="32" t="s">
        <v>236</v>
      </c>
      <c r="U196" s="32" t="s">
        <v>110</v>
      </c>
      <c r="V196" s="32">
        <v>350</v>
      </c>
      <c r="W196" s="32" t="s">
        <v>89</v>
      </c>
      <c r="X196" s="32" t="str">
        <f t="shared" si="10"/>
        <v>Printed Insert Baner 57X15 CM</v>
      </c>
      <c r="Y196" s="31" t="s">
        <v>391</v>
      </c>
      <c r="Z196" s="32" t="str">
        <f t="shared" si="11"/>
        <v>Insert Baner 57x15 CM Die Cutting 350 Swedish Board</v>
      </c>
      <c r="AA196" s="32" t="str">
        <f t="shared" si="12"/>
        <v>Printed  Insert Baner 55X10 CM</v>
      </c>
      <c r="AB196" s="32" t="s">
        <v>881</v>
      </c>
    </row>
    <row r="197" spans="2:28" x14ac:dyDescent="0.25">
      <c r="B197" s="31" t="s">
        <v>6</v>
      </c>
      <c r="D197" s="32">
        <v>2003</v>
      </c>
      <c r="E197" s="31" t="s">
        <v>6</v>
      </c>
      <c r="F197" s="32" t="s">
        <v>248</v>
      </c>
      <c r="G197" s="32" t="s">
        <v>249</v>
      </c>
      <c r="H197" s="32" t="s">
        <v>97</v>
      </c>
      <c r="I197" s="31" t="s">
        <v>310</v>
      </c>
      <c r="J197" s="32" t="s">
        <v>93</v>
      </c>
      <c r="K197" s="34">
        <v>6</v>
      </c>
      <c r="L197" s="33"/>
      <c r="O197" s="32">
        <v>59.5</v>
      </c>
      <c r="P197" s="32">
        <v>15</v>
      </c>
      <c r="Q197" s="32" t="s">
        <v>94</v>
      </c>
      <c r="R197" s="34"/>
      <c r="S197" s="32" t="s">
        <v>166</v>
      </c>
      <c r="T197" s="32" t="s">
        <v>236</v>
      </c>
      <c r="U197" s="32" t="s">
        <v>110</v>
      </c>
      <c r="V197" s="32">
        <v>355</v>
      </c>
      <c r="W197" s="32" t="s">
        <v>89</v>
      </c>
      <c r="X197" s="32" t="str">
        <f t="shared" si="10"/>
        <v>Printed Insert Baner 59.5X15 CM</v>
      </c>
      <c r="Y197" s="33" t="s">
        <v>392</v>
      </c>
      <c r="Z197" s="32" t="str">
        <f t="shared" si="11"/>
        <v>Insert Baner 59.5x15 CM Die Cutting 355 Swedish Board</v>
      </c>
      <c r="AA197" s="32" t="str">
        <f t="shared" si="12"/>
        <v>Printed  Insert Baner 77X15 CM</v>
      </c>
      <c r="AB197" s="32" t="s">
        <v>882</v>
      </c>
    </row>
    <row r="198" spans="2:28" x14ac:dyDescent="0.25">
      <c r="B198" s="31" t="s">
        <v>6</v>
      </c>
      <c r="D198" s="32">
        <v>2003</v>
      </c>
      <c r="E198" s="31" t="s">
        <v>6</v>
      </c>
      <c r="F198" s="32" t="s">
        <v>248</v>
      </c>
      <c r="G198" s="32" t="s">
        <v>249</v>
      </c>
      <c r="H198" s="32" t="s">
        <v>97</v>
      </c>
      <c r="I198" s="31" t="s">
        <v>310</v>
      </c>
      <c r="J198" s="32" t="s">
        <v>93</v>
      </c>
      <c r="K198" s="34">
        <v>6</v>
      </c>
      <c r="L198" s="33"/>
      <c r="O198" s="32">
        <v>60.5</v>
      </c>
      <c r="P198" s="32">
        <v>15</v>
      </c>
      <c r="Q198" s="32" t="s">
        <v>94</v>
      </c>
      <c r="R198" s="34"/>
      <c r="S198" s="32" t="s">
        <v>166</v>
      </c>
      <c r="T198" s="32" t="s">
        <v>236</v>
      </c>
      <c r="U198" s="32" t="s">
        <v>110</v>
      </c>
      <c r="V198" s="32">
        <v>300</v>
      </c>
      <c r="W198" s="32" t="s">
        <v>89</v>
      </c>
      <c r="X198" s="32" t="str">
        <f t="shared" si="10"/>
        <v>Printed Insert Baner 60.5X15 CM</v>
      </c>
      <c r="Y198" s="33" t="s">
        <v>393</v>
      </c>
      <c r="Z198" s="32" t="str">
        <f t="shared" si="11"/>
        <v>Insert Baner 60.5x15 CM Die Cutting 300 Swedish Board</v>
      </c>
      <c r="AA198" s="32" t="str">
        <f t="shared" si="12"/>
        <v>Printed  Insert Baner 79X15 CM</v>
      </c>
      <c r="AB198" s="32" t="s">
        <v>883</v>
      </c>
    </row>
    <row r="199" spans="2:28" x14ac:dyDescent="0.25">
      <c r="B199" s="31" t="s">
        <v>6</v>
      </c>
      <c r="D199" s="32">
        <v>2003</v>
      </c>
      <c r="E199" s="31" t="s">
        <v>6</v>
      </c>
      <c r="F199" s="32" t="s">
        <v>248</v>
      </c>
      <c r="G199" s="32" t="s">
        <v>249</v>
      </c>
      <c r="H199" s="32" t="s">
        <v>97</v>
      </c>
      <c r="I199" s="31" t="s">
        <v>310</v>
      </c>
      <c r="J199" s="32" t="s">
        <v>93</v>
      </c>
      <c r="K199" s="34">
        <v>6</v>
      </c>
      <c r="L199" s="33"/>
      <c r="O199" s="32">
        <v>61</v>
      </c>
      <c r="P199" s="32">
        <v>15</v>
      </c>
      <c r="Q199" s="32" t="s">
        <v>94</v>
      </c>
      <c r="R199" s="34"/>
      <c r="S199" s="32" t="s">
        <v>166</v>
      </c>
      <c r="T199" s="32" t="s">
        <v>236</v>
      </c>
      <c r="U199" s="32" t="s">
        <v>110</v>
      </c>
      <c r="V199" s="32">
        <v>300</v>
      </c>
      <c r="W199" s="32" t="s">
        <v>89</v>
      </c>
      <c r="X199" s="32" t="str">
        <f t="shared" si="10"/>
        <v>Printed Insert Baner 61X15 CM</v>
      </c>
      <c r="Y199" s="33" t="s">
        <v>394</v>
      </c>
      <c r="Z199" s="32" t="str">
        <f t="shared" si="11"/>
        <v>Insert Baner 61x15 CM Die Cutting 300 Swedish Board</v>
      </c>
      <c r="AA199" s="32" t="str">
        <f t="shared" si="12"/>
        <v>Printed  Insert Baner 90X15 CM</v>
      </c>
      <c r="AB199" s="32" t="s">
        <v>884</v>
      </c>
    </row>
    <row r="200" spans="2:28" x14ac:dyDescent="0.25">
      <c r="B200" s="31" t="s">
        <v>6</v>
      </c>
      <c r="D200" s="32">
        <v>2003</v>
      </c>
      <c r="E200" s="31" t="s">
        <v>6</v>
      </c>
      <c r="F200" s="32" t="s">
        <v>248</v>
      </c>
      <c r="G200" s="32" t="s">
        <v>249</v>
      </c>
      <c r="H200" s="32" t="s">
        <v>97</v>
      </c>
      <c r="I200" s="31" t="s">
        <v>310</v>
      </c>
      <c r="J200" s="32" t="s">
        <v>93</v>
      </c>
      <c r="K200" s="34">
        <v>5</v>
      </c>
      <c r="L200" s="33"/>
      <c r="O200" s="32">
        <v>53</v>
      </c>
      <c r="P200" s="32">
        <v>10</v>
      </c>
      <c r="Q200" s="32" t="s">
        <v>94</v>
      </c>
      <c r="R200" s="34"/>
      <c r="S200" s="32" t="s">
        <v>166</v>
      </c>
      <c r="T200" s="32" t="s">
        <v>236</v>
      </c>
      <c r="U200" s="32" t="s">
        <v>110</v>
      </c>
      <c r="V200" s="32">
        <v>350</v>
      </c>
      <c r="W200" s="32" t="s">
        <v>89</v>
      </c>
      <c r="X200" s="32" t="str">
        <f t="shared" si="10"/>
        <v>Printed Insert Baner 53X10 CM</v>
      </c>
      <c r="Y200" s="33" t="s">
        <v>395</v>
      </c>
      <c r="Z200" s="32" t="str">
        <f t="shared" si="11"/>
        <v>Insert Baner 53x10 CM Die Cutting 350 Swedish Board</v>
      </c>
      <c r="AA200" s="32" t="str">
        <f t="shared" si="12"/>
        <v>Printed  Insert Baner 69X15 CM</v>
      </c>
      <c r="AB200" s="32" t="s">
        <v>885</v>
      </c>
    </row>
    <row r="201" spans="2:28" x14ac:dyDescent="0.25">
      <c r="B201" s="31" t="s">
        <v>6</v>
      </c>
      <c r="D201" s="32">
        <v>2003</v>
      </c>
      <c r="E201" s="31" t="s">
        <v>6</v>
      </c>
      <c r="F201" s="32" t="s">
        <v>248</v>
      </c>
      <c r="G201" s="32" t="s">
        <v>249</v>
      </c>
      <c r="H201" s="32" t="s">
        <v>97</v>
      </c>
      <c r="I201" s="31" t="s">
        <v>310</v>
      </c>
      <c r="J201" s="32" t="s">
        <v>93</v>
      </c>
      <c r="K201" s="34">
        <v>6</v>
      </c>
      <c r="L201" s="33"/>
      <c r="O201" s="32">
        <v>67</v>
      </c>
      <c r="P201" s="32">
        <v>15</v>
      </c>
      <c r="Q201" s="32" t="s">
        <v>94</v>
      </c>
      <c r="R201" s="34"/>
      <c r="S201" s="32" t="s">
        <v>166</v>
      </c>
      <c r="T201" s="32" t="s">
        <v>236</v>
      </c>
      <c r="U201" s="32" t="s">
        <v>110</v>
      </c>
      <c r="V201" s="32">
        <v>350</v>
      </c>
      <c r="W201" s="32" t="s">
        <v>89</v>
      </c>
      <c r="X201" s="32" t="str">
        <f t="shared" si="10"/>
        <v>Printed Insert Baner 67X15 CM</v>
      </c>
      <c r="Y201" s="33" t="s">
        <v>396</v>
      </c>
      <c r="Z201" s="32" t="str">
        <f t="shared" si="11"/>
        <v>Insert Baner 67x15 CM Die Cutting 350 Swedish Board</v>
      </c>
      <c r="AA201" s="32" t="str">
        <f t="shared" si="12"/>
        <v>Printed  Insert Baner 73X15 CM</v>
      </c>
      <c r="AB201" s="32" t="s">
        <v>886</v>
      </c>
    </row>
    <row r="202" spans="2:28" x14ac:dyDescent="0.25">
      <c r="B202" s="31" t="s">
        <v>6</v>
      </c>
      <c r="D202" s="32">
        <v>2003</v>
      </c>
      <c r="E202" s="31" t="s">
        <v>6</v>
      </c>
      <c r="F202" s="32" t="s">
        <v>248</v>
      </c>
      <c r="G202" s="32" t="s">
        <v>249</v>
      </c>
      <c r="H202" s="32" t="s">
        <v>97</v>
      </c>
      <c r="I202" s="31" t="s">
        <v>310</v>
      </c>
      <c r="J202" s="32" t="s">
        <v>93</v>
      </c>
      <c r="K202" s="34">
        <v>6</v>
      </c>
      <c r="L202" s="33"/>
      <c r="O202" s="32">
        <v>71</v>
      </c>
      <c r="P202" s="32">
        <v>15</v>
      </c>
      <c r="Q202" s="32" t="s">
        <v>94</v>
      </c>
      <c r="R202" s="34"/>
      <c r="S202" s="32" t="s">
        <v>166</v>
      </c>
      <c r="T202" s="32" t="s">
        <v>236</v>
      </c>
      <c r="U202" s="32" t="s">
        <v>110</v>
      </c>
      <c r="V202" s="32">
        <v>350</v>
      </c>
      <c r="W202" s="32" t="s">
        <v>89</v>
      </c>
      <c r="X202" s="32" t="str">
        <f t="shared" si="10"/>
        <v>Printed Insert Baner 71X15 CM</v>
      </c>
      <c r="Y202" s="33" t="s">
        <v>397</v>
      </c>
      <c r="Z202" s="32" t="str">
        <f t="shared" si="11"/>
        <v>Insert Baner 71x15 CM Die Cutting 350 Swedish Board</v>
      </c>
      <c r="AA202" s="32" t="str">
        <f t="shared" si="12"/>
        <v>Printed  Insert Baner 83X15 CM</v>
      </c>
      <c r="AB202" s="32" t="s">
        <v>887</v>
      </c>
    </row>
    <row r="203" spans="2:28" x14ac:dyDescent="0.25">
      <c r="B203" s="31" t="s">
        <v>6</v>
      </c>
      <c r="D203" s="32">
        <v>2003</v>
      </c>
      <c r="E203" s="31" t="s">
        <v>6</v>
      </c>
      <c r="F203" s="32" t="s">
        <v>248</v>
      </c>
      <c r="G203" s="32" t="s">
        <v>249</v>
      </c>
      <c r="H203" s="32" t="s">
        <v>97</v>
      </c>
      <c r="I203" s="31" t="s">
        <v>310</v>
      </c>
      <c r="J203" s="32" t="s">
        <v>93</v>
      </c>
      <c r="K203" s="34">
        <v>6</v>
      </c>
      <c r="L203" s="33"/>
      <c r="O203" s="32">
        <v>75</v>
      </c>
      <c r="P203" s="32">
        <v>15</v>
      </c>
      <c r="Q203" s="32" t="s">
        <v>94</v>
      </c>
      <c r="R203" s="34"/>
      <c r="S203" s="32" t="s">
        <v>166</v>
      </c>
      <c r="T203" s="32" t="s">
        <v>236</v>
      </c>
      <c r="U203" s="32" t="s">
        <v>110</v>
      </c>
      <c r="V203" s="32">
        <v>350</v>
      </c>
      <c r="W203" s="32" t="s">
        <v>89</v>
      </c>
      <c r="X203" s="32" t="str">
        <f t="shared" si="10"/>
        <v>Printed Insert Baner 75X15 CM</v>
      </c>
      <c r="Y203" s="31" t="s">
        <v>398</v>
      </c>
      <c r="Z203" s="32" t="str">
        <f t="shared" si="11"/>
        <v>Insert Baner 75x15 CM Die Cutting 350 Swedish Board</v>
      </c>
      <c r="AA203" s="32" t="str">
        <f t="shared" si="12"/>
        <v>Printed  Insert Baner 79X17.6 CM</v>
      </c>
      <c r="AB203" s="32" t="s">
        <v>888</v>
      </c>
    </row>
    <row r="204" spans="2:28" x14ac:dyDescent="0.25">
      <c r="B204" s="31" t="s">
        <v>6</v>
      </c>
      <c r="D204" s="32">
        <v>2003</v>
      </c>
      <c r="E204" s="31" t="s">
        <v>6</v>
      </c>
      <c r="F204" s="32" t="s">
        <v>248</v>
      </c>
      <c r="G204" s="32" t="s">
        <v>249</v>
      </c>
      <c r="H204" s="32" t="s">
        <v>97</v>
      </c>
      <c r="I204" s="31" t="s">
        <v>310</v>
      </c>
      <c r="J204" s="32" t="s">
        <v>93</v>
      </c>
      <c r="K204" s="34">
        <v>5</v>
      </c>
      <c r="L204" s="33"/>
      <c r="O204" s="32">
        <v>55</v>
      </c>
      <c r="P204" s="32">
        <v>10</v>
      </c>
      <c r="Q204" s="32" t="s">
        <v>94</v>
      </c>
      <c r="R204" s="34"/>
      <c r="S204" s="32" t="s">
        <v>166</v>
      </c>
      <c r="T204" s="32" t="s">
        <v>236</v>
      </c>
      <c r="U204" s="32" t="s">
        <v>110</v>
      </c>
      <c r="V204" s="32">
        <v>350</v>
      </c>
      <c r="W204" s="32" t="s">
        <v>89</v>
      </c>
      <c r="X204" s="32" t="str">
        <f t="shared" si="10"/>
        <v>Printed Insert Baner 55X10 CM</v>
      </c>
      <c r="Y204" s="33" t="s">
        <v>399</v>
      </c>
      <c r="Z204" s="32" t="str">
        <f t="shared" si="11"/>
        <v>Insert Baner 55x10 CM Die Cutting 350 Swedish Board</v>
      </c>
      <c r="AA204" s="32" t="str">
        <f t="shared" si="12"/>
        <v>Printed  Insert Baner 25.2X17.6 CM</v>
      </c>
      <c r="AB204" s="32" t="s">
        <v>889</v>
      </c>
    </row>
    <row r="205" spans="2:28" x14ac:dyDescent="0.25">
      <c r="B205" s="31" t="s">
        <v>6</v>
      </c>
      <c r="D205" s="32">
        <v>2003</v>
      </c>
      <c r="E205" s="31" t="s">
        <v>6</v>
      </c>
      <c r="F205" s="32" t="s">
        <v>248</v>
      </c>
      <c r="G205" s="32" t="s">
        <v>249</v>
      </c>
      <c r="H205" s="32" t="s">
        <v>97</v>
      </c>
      <c r="I205" s="31" t="s">
        <v>310</v>
      </c>
      <c r="J205" s="32" t="s">
        <v>93</v>
      </c>
      <c r="K205" s="34">
        <v>5</v>
      </c>
      <c r="L205" s="33"/>
      <c r="O205" s="32">
        <v>77</v>
      </c>
      <c r="P205" s="32">
        <v>15</v>
      </c>
      <c r="Q205" s="32" t="s">
        <v>94</v>
      </c>
      <c r="R205" s="34"/>
      <c r="S205" s="32" t="s">
        <v>166</v>
      </c>
      <c r="T205" s="32" t="s">
        <v>236</v>
      </c>
      <c r="U205" s="32" t="s">
        <v>110</v>
      </c>
      <c r="V205" s="32">
        <v>350</v>
      </c>
      <c r="W205" s="32" t="s">
        <v>89</v>
      </c>
      <c r="X205" s="32" t="str">
        <f t="shared" si="10"/>
        <v>Printed Insert Baner 77X15 CM</v>
      </c>
      <c r="Y205" s="33" t="s">
        <v>400</v>
      </c>
      <c r="Z205" s="32" t="str">
        <f t="shared" si="11"/>
        <v>Insert Baner 77x15 CM Die Cutting 350 Swedish Board</v>
      </c>
      <c r="AA205" s="32" t="str">
        <f t="shared" si="12"/>
        <v>Printed  Insert Baner 87X15 CM</v>
      </c>
      <c r="AB205" s="32" t="s">
        <v>890</v>
      </c>
    </row>
    <row r="206" spans="2:28" x14ac:dyDescent="0.25">
      <c r="B206" s="31" t="s">
        <v>6</v>
      </c>
      <c r="D206" s="32">
        <v>2003</v>
      </c>
      <c r="E206" s="31" t="s">
        <v>6</v>
      </c>
      <c r="F206" s="32" t="s">
        <v>248</v>
      </c>
      <c r="G206" s="32" t="s">
        <v>249</v>
      </c>
      <c r="H206" s="32" t="s">
        <v>97</v>
      </c>
      <c r="I206" s="31" t="s">
        <v>310</v>
      </c>
      <c r="J206" s="32" t="s">
        <v>93</v>
      </c>
      <c r="K206" s="34">
        <v>5</v>
      </c>
      <c r="L206" s="33"/>
      <c r="O206" s="32">
        <v>79</v>
      </c>
      <c r="P206" s="32">
        <v>15</v>
      </c>
      <c r="Q206" s="32" t="s">
        <v>94</v>
      </c>
      <c r="R206" s="34"/>
      <c r="S206" s="32" t="s">
        <v>166</v>
      </c>
      <c r="T206" s="32" t="s">
        <v>236</v>
      </c>
      <c r="U206" s="32" t="s">
        <v>110</v>
      </c>
      <c r="V206" s="32">
        <v>350</v>
      </c>
      <c r="W206" s="32" t="s">
        <v>89</v>
      </c>
      <c r="X206" s="32" t="str">
        <f t="shared" si="10"/>
        <v>Printed Insert Baner 79X15 CM</v>
      </c>
      <c r="Y206" s="33" t="s">
        <v>401</v>
      </c>
      <c r="Z206" s="32" t="str">
        <f t="shared" si="11"/>
        <v>Insert Baner 79x15 CM Die Cutting 350 Swedish Board</v>
      </c>
      <c r="AA206" s="32" t="str">
        <f t="shared" si="12"/>
        <v>Printed  Insert  49.25X26.5 CM</v>
      </c>
      <c r="AB206" s="32" t="s">
        <v>891</v>
      </c>
    </row>
    <row r="207" spans="2:28" x14ac:dyDescent="0.25">
      <c r="B207" s="31" t="s">
        <v>6</v>
      </c>
      <c r="D207" s="32">
        <v>2003</v>
      </c>
      <c r="E207" s="31" t="s">
        <v>6</v>
      </c>
      <c r="F207" s="32" t="s">
        <v>248</v>
      </c>
      <c r="G207" s="32" t="s">
        <v>249</v>
      </c>
      <c r="H207" s="32" t="s">
        <v>97</v>
      </c>
      <c r="I207" s="31" t="s">
        <v>310</v>
      </c>
      <c r="J207" s="32" t="s">
        <v>93</v>
      </c>
      <c r="K207" s="34">
        <v>5</v>
      </c>
      <c r="L207" s="33"/>
      <c r="O207" s="32">
        <v>90</v>
      </c>
      <c r="P207" s="32">
        <v>15</v>
      </c>
      <c r="Q207" s="32" t="s">
        <v>94</v>
      </c>
      <c r="R207" s="34"/>
      <c r="S207" s="32" t="s">
        <v>166</v>
      </c>
      <c r="T207" s="32" t="s">
        <v>236</v>
      </c>
      <c r="U207" s="32" t="s">
        <v>110</v>
      </c>
      <c r="V207" s="32">
        <v>350</v>
      </c>
      <c r="W207" s="32" t="s">
        <v>89</v>
      </c>
      <c r="X207" s="32" t="str">
        <f t="shared" si="10"/>
        <v>Printed Insert Baner 90X15 CM</v>
      </c>
      <c r="Y207" s="33" t="s">
        <v>402</v>
      </c>
      <c r="Z207" s="32" t="str">
        <f t="shared" si="11"/>
        <v>Insert Baner 90x15 CM Die Cutting 350 Swedish Board</v>
      </c>
      <c r="AA207" s="32" t="str">
        <f t="shared" si="12"/>
        <v>Printed  Insert 49.75X26.5 CM</v>
      </c>
      <c r="AB207" s="32" t="s">
        <v>892</v>
      </c>
    </row>
    <row r="208" spans="2:28" x14ac:dyDescent="0.25">
      <c r="B208" s="31" t="s">
        <v>6</v>
      </c>
      <c r="D208" s="32">
        <v>2003</v>
      </c>
      <c r="E208" s="31" t="s">
        <v>6</v>
      </c>
      <c r="F208" s="32" t="s">
        <v>248</v>
      </c>
      <c r="G208" s="32" t="s">
        <v>249</v>
      </c>
      <c r="H208" s="32" t="s">
        <v>97</v>
      </c>
      <c r="I208" s="31" t="s">
        <v>310</v>
      </c>
      <c r="J208" s="32" t="s">
        <v>93</v>
      </c>
      <c r="K208" s="34">
        <v>6</v>
      </c>
      <c r="L208" s="33"/>
      <c r="O208" s="32">
        <v>69</v>
      </c>
      <c r="P208" s="32">
        <v>15</v>
      </c>
      <c r="Q208" s="32" t="s">
        <v>94</v>
      </c>
      <c r="R208" s="34"/>
      <c r="S208" s="32" t="s">
        <v>166</v>
      </c>
      <c r="T208" s="32" t="s">
        <v>236</v>
      </c>
      <c r="U208" s="32" t="s">
        <v>110</v>
      </c>
      <c r="V208" s="32">
        <v>350</v>
      </c>
      <c r="W208" s="32" t="s">
        <v>89</v>
      </c>
      <c r="X208" s="32" t="str">
        <f t="shared" si="10"/>
        <v>Printed Insert Baner 69X15 CM</v>
      </c>
      <c r="Y208" s="33" t="s">
        <v>403</v>
      </c>
      <c r="Z208" s="32" t="str">
        <f t="shared" si="11"/>
        <v>Insert Baner 69x15 CM Die Cutting 350 Swedish Board</v>
      </c>
      <c r="AA208" s="32" t="str">
        <f t="shared" si="12"/>
        <v>Printed  Insert Baner 90X9 CM</v>
      </c>
      <c r="AB208" s="32" t="s">
        <v>893</v>
      </c>
    </row>
    <row r="209" spans="2:28" x14ac:dyDescent="0.25">
      <c r="B209" s="31" t="s">
        <v>6</v>
      </c>
      <c r="D209" s="32">
        <v>2003</v>
      </c>
      <c r="E209" s="31" t="s">
        <v>6</v>
      </c>
      <c r="F209" s="32" t="s">
        <v>248</v>
      </c>
      <c r="G209" s="32" t="s">
        <v>249</v>
      </c>
      <c r="H209" s="32" t="s">
        <v>97</v>
      </c>
      <c r="I209" s="31" t="s">
        <v>310</v>
      </c>
      <c r="J209" s="32" t="s">
        <v>93</v>
      </c>
      <c r="K209" s="34">
        <v>6</v>
      </c>
      <c r="L209" s="33"/>
      <c r="O209" s="32">
        <v>73</v>
      </c>
      <c r="P209" s="32">
        <v>15</v>
      </c>
      <c r="Q209" s="32" t="s">
        <v>94</v>
      </c>
      <c r="R209" s="34"/>
      <c r="S209" s="32" t="s">
        <v>166</v>
      </c>
      <c r="T209" s="32" t="s">
        <v>236</v>
      </c>
      <c r="U209" s="32" t="s">
        <v>110</v>
      </c>
      <c r="V209" s="32">
        <v>350</v>
      </c>
      <c r="W209" s="32" t="s">
        <v>89</v>
      </c>
      <c r="X209" s="32" t="str">
        <f t="shared" si="10"/>
        <v>Printed Insert Baner 73X15 CM</v>
      </c>
      <c r="Y209" s="33" t="s">
        <v>404</v>
      </c>
      <c r="Z209" s="32" t="str">
        <f t="shared" si="11"/>
        <v>Insert Baner 73x15 CM Die Cutting 350 Swedish Board</v>
      </c>
      <c r="AA209" s="32" t="str">
        <f t="shared" si="12"/>
        <v>Printed  Insert Belly Band 84X25 CM</v>
      </c>
      <c r="AB209" s="32" t="s">
        <v>894</v>
      </c>
    </row>
    <row r="210" spans="2:28" x14ac:dyDescent="0.25">
      <c r="B210" s="31" t="s">
        <v>6</v>
      </c>
      <c r="D210" s="32">
        <v>2003</v>
      </c>
      <c r="E210" s="31" t="s">
        <v>6</v>
      </c>
      <c r="F210" s="32" t="s">
        <v>248</v>
      </c>
      <c r="G210" s="32" t="s">
        <v>249</v>
      </c>
      <c r="H210" s="32" t="s">
        <v>97</v>
      </c>
      <c r="I210" s="31" t="s">
        <v>310</v>
      </c>
      <c r="J210" s="32" t="s">
        <v>93</v>
      </c>
      <c r="K210" s="34">
        <v>6</v>
      </c>
      <c r="L210" s="33"/>
      <c r="O210" s="32">
        <v>83</v>
      </c>
      <c r="P210" s="32">
        <v>15</v>
      </c>
      <c r="Q210" s="32" t="s">
        <v>94</v>
      </c>
      <c r="R210" s="34"/>
      <c r="S210" s="32" t="s">
        <v>166</v>
      </c>
      <c r="T210" s="32" t="s">
        <v>236</v>
      </c>
      <c r="U210" s="32" t="s">
        <v>110</v>
      </c>
      <c r="V210" s="32">
        <v>350</v>
      </c>
      <c r="W210" s="32" t="s">
        <v>89</v>
      </c>
      <c r="X210" s="32" t="str">
        <f t="shared" si="10"/>
        <v>Printed Insert Baner 83X15 CM</v>
      </c>
      <c r="Y210" s="33" t="s">
        <v>405</v>
      </c>
      <c r="Z210" s="32" t="str">
        <f t="shared" si="11"/>
        <v>Insert Baner 83x15 CM Die Cutting 350 Swedish Board</v>
      </c>
      <c r="AA210" s="32" t="str">
        <f t="shared" si="12"/>
        <v>Printed  Insert Belly Band 85.5X25 CM</v>
      </c>
      <c r="AB210" s="32" t="s">
        <v>895</v>
      </c>
    </row>
    <row r="211" spans="2:28" x14ac:dyDescent="0.25">
      <c r="B211" s="31" t="s">
        <v>6</v>
      </c>
      <c r="D211" s="32">
        <v>2003</v>
      </c>
      <c r="E211" s="31" t="s">
        <v>6</v>
      </c>
      <c r="F211" s="32" t="s">
        <v>248</v>
      </c>
      <c r="G211" s="32" t="s">
        <v>249</v>
      </c>
      <c r="H211" s="32" t="s">
        <v>97</v>
      </c>
      <c r="I211" s="31" t="s">
        <v>310</v>
      </c>
      <c r="J211" s="32" t="s">
        <v>93</v>
      </c>
      <c r="K211" s="34">
        <v>6</v>
      </c>
      <c r="L211" s="33"/>
      <c r="O211" s="32">
        <v>79</v>
      </c>
      <c r="P211" s="32">
        <v>17.600000000000001</v>
      </c>
      <c r="Q211" s="32" t="s">
        <v>94</v>
      </c>
      <c r="R211" s="34"/>
      <c r="S211" s="32" t="s">
        <v>166</v>
      </c>
      <c r="T211" s="32" t="s">
        <v>236</v>
      </c>
      <c r="U211" s="32" t="s">
        <v>110</v>
      </c>
      <c r="V211" s="32">
        <v>350</v>
      </c>
      <c r="W211" s="32" t="s">
        <v>89</v>
      </c>
      <c r="X211" s="32" t="str">
        <f t="shared" si="10"/>
        <v>Printed Insert Baner 79X17.6 CM</v>
      </c>
      <c r="Y211" s="33" t="s">
        <v>406</v>
      </c>
      <c r="Z211" s="32" t="str">
        <f t="shared" si="11"/>
        <v>Insert Baner 79x17.6 CM Die Cutting 350 Swedish Board</v>
      </c>
      <c r="AA211" s="32" t="str">
        <f t="shared" si="12"/>
        <v>Printed  Insert Belly Band 88X22 CM</v>
      </c>
      <c r="AB211" s="32" t="s">
        <v>896</v>
      </c>
    </row>
    <row r="212" spans="2:28" x14ac:dyDescent="0.25">
      <c r="B212" s="31" t="s">
        <v>6</v>
      </c>
      <c r="D212" s="32">
        <v>2003</v>
      </c>
      <c r="E212" s="31" t="s">
        <v>6</v>
      </c>
      <c r="F212" s="32" t="s">
        <v>248</v>
      </c>
      <c r="G212" s="32" t="s">
        <v>249</v>
      </c>
      <c r="H212" s="32" t="s">
        <v>97</v>
      </c>
      <c r="I212" s="31" t="s">
        <v>310</v>
      </c>
      <c r="J212" s="32" t="s">
        <v>93</v>
      </c>
      <c r="K212" s="34">
        <v>6</v>
      </c>
      <c r="L212" s="33"/>
      <c r="O212" s="32">
        <v>25.2</v>
      </c>
      <c r="P212" s="32">
        <v>17.600000000000001</v>
      </c>
      <c r="Q212" s="32" t="s">
        <v>94</v>
      </c>
      <c r="R212" s="34"/>
      <c r="S212" s="32" t="s">
        <v>166</v>
      </c>
      <c r="T212" s="32" t="s">
        <v>236</v>
      </c>
      <c r="U212" s="32" t="s">
        <v>110</v>
      </c>
      <c r="V212" s="32">
        <v>350</v>
      </c>
      <c r="W212" s="32" t="s">
        <v>89</v>
      </c>
      <c r="X212" s="32" t="str">
        <f t="shared" si="10"/>
        <v>Printed Insert Baner 25.2X17.6 CM</v>
      </c>
      <c r="Y212" s="33" t="s">
        <v>407</v>
      </c>
      <c r="Z212" s="32" t="str">
        <f t="shared" si="11"/>
        <v>Insert Baner 25.2x17.6 CM Die Cutting 350 Swedish Board</v>
      </c>
      <c r="AA212" s="32" t="str">
        <f t="shared" si="12"/>
        <v>Printed  Insert Belly Band 87X25 CM</v>
      </c>
      <c r="AB212" s="32" t="s">
        <v>897</v>
      </c>
    </row>
    <row r="213" spans="2:28" x14ac:dyDescent="0.25">
      <c r="B213" s="31" t="s">
        <v>6</v>
      </c>
      <c r="D213" s="32">
        <v>2003</v>
      </c>
      <c r="E213" s="31" t="s">
        <v>6</v>
      </c>
      <c r="F213" s="32" t="s">
        <v>248</v>
      </c>
      <c r="G213" s="32" t="s">
        <v>249</v>
      </c>
      <c r="H213" s="32" t="s">
        <v>97</v>
      </c>
      <c r="I213" s="31" t="s">
        <v>310</v>
      </c>
      <c r="J213" s="32" t="s">
        <v>93</v>
      </c>
      <c r="K213" s="34">
        <v>6</v>
      </c>
      <c r="L213" s="33"/>
      <c r="O213" s="32">
        <v>87</v>
      </c>
      <c r="P213" s="32">
        <v>15</v>
      </c>
      <c r="Q213" s="32" t="s">
        <v>94</v>
      </c>
      <c r="R213" s="34"/>
      <c r="S213" s="32" t="s">
        <v>166</v>
      </c>
      <c r="T213" s="32" t="s">
        <v>236</v>
      </c>
      <c r="U213" s="32" t="s">
        <v>110</v>
      </c>
      <c r="V213" s="32">
        <v>350</v>
      </c>
      <c r="W213" s="32" t="s">
        <v>89</v>
      </c>
      <c r="X213" s="32" t="str">
        <f t="shared" si="10"/>
        <v>Printed Insert Baner 87X15 CM</v>
      </c>
      <c r="Y213" s="33" t="s">
        <v>408</v>
      </c>
      <c r="Z213" s="32" t="str">
        <f t="shared" si="11"/>
        <v>Insert Baner 87x15 CM Die Cutting 350 Swedish Board</v>
      </c>
      <c r="AA213" s="32" t="str">
        <f t="shared" si="12"/>
        <v>Printed  Insert Belly Band 46X12.5 CM</v>
      </c>
      <c r="AB213" s="32" t="s">
        <v>898</v>
      </c>
    </row>
    <row r="214" spans="2:28" x14ac:dyDescent="0.25">
      <c r="B214" s="31" t="s">
        <v>6</v>
      </c>
      <c r="D214" s="32">
        <v>2003</v>
      </c>
      <c r="E214" s="31" t="s">
        <v>6</v>
      </c>
      <c r="F214" s="32" t="s">
        <v>248</v>
      </c>
      <c r="G214" s="32" t="s">
        <v>249</v>
      </c>
      <c r="H214" s="32" t="s">
        <v>97</v>
      </c>
      <c r="I214" s="31" t="s">
        <v>112</v>
      </c>
      <c r="J214" s="32" t="s">
        <v>93</v>
      </c>
      <c r="K214" s="34">
        <v>6</v>
      </c>
      <c r="L214" s="31"/>
      <c r="O214" s="34">
        <v>49.25</v>
      </c>
      <c r="P214" s="34">
        <v>26.5</v>
      </c>
      <c r="Q214" s="34" t="s">
        <v>94</v>
      </c>
      <c r="R214" s="34"/>
      <c r="S214" s="34"/>
      <c r="T214" s="34" t="s">
        <v>119</v>
      </c>
      <c r="U214" s="32" t="s">
        <v>110</v>
      </c>
      <c r="V214" s="34">
        <v>300</v>
      </c>
      <c r="W214" s="34" t="s">
        <v>89</v>
      </c>
      <c r="X214" s="32" t="str">
        <f t="shared" si="10"/>
        <v>Printed Insert  49.25X26.5 CM</v>
      </c>
      <c r="Y214" s="31" t="s">
        <v>409</v>
      </c>
      <c r="Z214" s="32" t="str">
        <f t="shared" si="11"/>
        <v>Insert  49.25x26.5 CM Pollar Cutting 300 Swedish Board</v>
      </c>
      <c r="AA214" s="32" t="str">
        <f t="shared" si="12"/>
        <v>Printed  Insert Baner 62X35.5 CM</v>
      </c>
      <c r="AB214" s="32" t="s">
        <v>899</v>
      </c>
    </row>
    <row r="215" spans="2:28" x14ac:dyDescent="0.25">
      <c r="B215" s="31" t="s">
        <v>6</v>
      </c>
      <c r="D215" s="32">
        <v>2003</v>
      </c>
      <c r="E215" s="31" t="s">
        <v>6</v>
      </c>
      <c r="F215" s="32" t="s">
        <v>248</v>
      </c>
      <c r="G215" s="32" t="s">
        <v>249</v>
      </c>
      <c r="H215" s="32" t="s">
        <v>97</v>
      </c>
      <c r="I215" s="31" t="s">
        <v>46</v>
      </c>
      <c r="J215" s="32" t="s">
        <v>93</v>
      </c>
      <c r="K215" s="34">
        <v>6</v>
      </c>
      <c r="L215" s="33"/>
      <c r="O215" s="34">
        <v>49.75</v>
      </c>
      <c r="P215" s="34">
        <v>26.5</v>
      </c>
      <c r="Q215" s="34" t="s">
        <v>94</v>
      </c>
      <c r="R215" s="34"/>
      <c r="S215" s="34"/>
      <c r="T215" s="34" t="s">
        <v>119</v>
      </c>
      <c r="U215" s="32" t="s">
        <v>110</v>
      </c>
      <c r="V215" s="34">
        <v>300</v>
      </c>
      <c r="W215" s="34" t="s">
        <v>89</v>
      </c>
      <c r="X215" s="32" t="str">
        <f t="shared" si="10"/>
        <v>Printed Insert 49.75X26.5 CM</v>
      </c>
      <c r="Y215" s="33" t="s">
        <v>410</v>
      </c>
      <c r="Z215" s="32" t="str">
        <f t="shared" si="11"/>
        <v>Insert 49.75x26.5 CM Pollar Cutting 300 Swedish Board</v>
      </c>
      <c r="AA215" s="32" t="str">
        <f t="shared" si="12"/>
        <v>Printed  Insert Baner 60X35.5 CM</v>
      </c>
      <c r="AB215" s="32" t="s">
        <v>900</v>
      </c>
    </row>
    <row r="216" spans="2:28" x14ac:dyDescent="0.25">
      <c r="B216" s="31" t="s">
        <v>6</v>
      </c>
      <c r="D216" s="32">
        <v>2003</v>
      </c>
      <c r="E216" s="31" t="s">
        <v>6</v>
      </c>
      <c r="F216" s="32" t="s">
        <v>248</v>
      </c>
      <c r="G216" s="32" t="s">
        <v>249</v>
      </c>
      <c r="H216" s="32" t="s">
        <v>97</v>
      </c>
      <c r="I216" s="31" t="s">
        <v>310</v>
      </c>
      <c r="J216" s="32" t="s">
        <v>93</v>
      </c>
      <c r="K216" s="34">
        <v>2</v>
      </c>
      <c r="L216" s="33"/>
      <c r="O216" s="34">
        <v>90</v>
      </c>
      <c r="P216" s="34">
        <v>9</v>
      </c>
      <c r="Q216" s="34" t="s">
        <v>94</v>
      </c>
      <c r="R216" s="34"/>
      <c r="S216" s="34"/>
      <c r="T216" s="34" t="s">
        <v>119</v>
      </c>
      <c r="U216" s="34" t="s">
        <v>326</v>
      </c>
      <c r="V216" s="34">
        <v>160</v>
      </c>
      <c r="W216" s="34" t="s">
        <v>89</v>
      </c>
      <c r="X216" s="32" t="str">
        <f t="shared" si="10"/>
        <v>Printed Insert Baner 90X9 CM</v>
      </c>
      <c r="Y216" s="33" t="s">
        <v>411</v>
      </c>
      <c r="Z216" s="32" t="str">
        <f t="shared" si="11"/>
        <v>Insert Baner 90x9 CM Pollar Cutting 160 Craft Paper</v>
      </c>
      <c r="AA216" s="32" t="str">
        <f t="shared" si="12"/>
        <v>Printed  Insert Baner 62X16 CM</v>
      </c>
      <c r="AB216" s="32" t="s">
        <v>901</v>
      </c>
    </row>
    <row r="217" spans="2:28" x14ac:dyDescent="0.25">
      <c r="B217" s="31" t="s">
        <v>6</v>
      </c>
      <c r="D217" s="32">
        <v>2003</v>
      </c>
      <c r="E217" s="31" t="s">
        <v>6</v>
      </c>
      <c r="F217" s="32" t="s">
        <v>248</v>
      </c>
      <c r="G217" s="32" t="s">
        <v>249</v>
      </c>
      <c r="H217" s="32" t="s">
        <v>97</v>
      </c>
      <c r="I217" s="31" t="s">
        <v>327</v>
      </c>
      <c r="J217" s="32" t="s">
        <v>93</v>
      </c>
      <c r="K217" s="34">
        <v>1</v>
      </c>
      <c r="L217" s="33"/>
      <c r="O217" s="34">
        <v>84</v>
      </c>
      <c r="P217" s="34">
        <v>25</v>
      </c>
      <c r="Q217" s="34" t="s">
        <v>94</v>
      </c>
      <c r="R217" s="34"/>
      <c r="S217" s="34" t="s">
        <v>166</v>
      </c>
      <c r="T217" s="34" t="s">
        <v>119</v>
      </c>
      <c r="U217" s="32" t="s">
        <v>110</v>
      </c>
      <c r="V217" s="34">
        <v>400</v>
      </c>
      <c r="W217" s="34" t="s">
        <v>89</v>
      </c>
      <c r="X217" s="32" t="str">
        <f t="shared" si="10"/>
        <v>Printed Insert Belly Band 84X25 CM</v>
      </c>
      <c r="Y217" s="33" t="s">
        <v>412</v>
      </c>
      <c r="Z217" s="32" t="str">
        <f t="shared" si="11"/>
        <v>Insert Belly Band 84x25 CM Pollar Cutting 400 Swedish Board</v>
      </c>
      <c r="AA217" s="32" t="str">
        <f t="shared" si="12"/>
        <v>Printed  Insert Baner 59X36 CM</v>
      </c>
      <c r="AB217" s="32" t="s">
        <v>902</v>
      </c>
    </row>
    <row r="218" spans="2:28" x14ac:dyDescent="0.25">
      <c r="B218" s="31" t="s">
        <v>6</v>
      </c>
      <c r="D218" s="32">
        <v>2003</v>
      </c>
      <c r="E218" s="31" t="s">
        <v>6</v>
      </c>
      <c r="F218" s="32" t="s">
        <v>248</v>
      </c>
      <c r="G218" s="32" t="s">
        <v>249</v>
      </c>
      <c r="H218" s="32" t="s">
        <v>97</v>
      </c>
      <c r="I218" s="31" t="s">
        <v>327</v>
      </c>
      <c r="J218" s="32" t="s">
        <v>93</v>
      </c>
      <c r="K218" s="34">
        <v>1</v>
      </c>
      <c r="L218" s="33"/>
      <c r="O218" s="34">
        <v>85.5</v>
      </c>
      <c r="P218" s="34">
        <v>25</v>
      </c>
      <c r="Q218" s="34" t="s">
        <v>94</v>
      </c>
      <c r="R218" s="34"/>
      <c r="S218" s="34" t="s">
        <v>166</v>
      </c>
      <c r="T218" s="34" t="s">
        <v>119</v>
      </c>
      <c r="U218" s="34" t="s">
        <v>185</v>
      </c>
      <c r="V218" s="34">
        <v>80</v>
      </c>
      <c r="W218" s="34" t="s">
        <v>89</v>
      </c>
      <c r="X218" s="32" t="str">
        <f t="shared" si="10"/>
        <v>Printed Insert Belly Band 85.5X25 CM</v>
      </c>
      <c r="Y218" s="33" t="s">
        <v>413</v>
      </c>
      <c r="Z218" s="32" t="str">
        <f t="shared" si="11"/>
        <v>Insert Belly Band 85.5x25 CM Pollar Cutting 80 Offset Paper</v>
      </c>
      <c r="AA218" s="32" t="str">
        <f t="shared" si="12"/>
        <v>Printed  Insert Baner 62X10 CM</v>
      </c>
      <c r="AB218" s="32" t="s">
        <v>903</v>
      </c>
    </row>
    <row r="219" spans="2:28" x14ac:dyDescent="0.25">
      <c r="B219" s="31" t="s">
        <v>6</v>
      </c>
      <c r="D219" s="32">
        <v>2003</v>
      </c>
      <c r="E219" s="31" t="s">
        <v>6</v>
      </c>
      <c r="F219" s="32" t="s">
        <v>248</v>
      </c>
      <c r="G219" s="32" t="s">
        <v>249</v>
      </c>
      <c r="H219" s="32" t="s">
        <v>97</v>
      </c>
      <c r="I219" s="31" t="s">
        <v>327</v>
      </c>
      <c r="J219" s="32" t="s">
        <v>93</v>
      </c>
      <c r="K219" s="34">
        <v>1</v>
      </c>
      <c r="L219" s="33"/>
      <c r="O219" s="34">
        <v>88</v>
      </c>
      <c r="P219" s="34">
        <v>22</v>
      </c>
      <c r="Q219" s="34" t="s">
        <v>94</v>
      </c>
      <c r="R219" s="34"/>
      <c r="S219" s="34" t="s">
        <v>166</v>
      </c>
      <c r="T219" s="34" t="s">
        <v>119</v>
      </c>
      <c r="U219" s="34" t="s">
        <v>185</v>
      </c>
      <c r="V219" s="34">
        <v>80</v>
      </c>
      <c r="W219" s="34" t="s">
        <v>89</v>
      </c>
      <c r="X219" s="32" t="str">
        <f t="shared" si="10"/>
        <v>Printed Insert Belly Band 88X22 CM</v>
      </c>
      <c r="Y219" s="33" t="s">
        <v>414</v>
      </c>
      <c r="Z219" s="32" t="str">
        <f t="shared" si="11"/>
        <v>Insert Belly Band 88x22 CM Pollar Cutting 80 Offset Paper</v>
      </c>
      <c r="AA219" s="32" t="str">
        <f t="shared" si="12"/>
        <v>Printed  Insert Belly Band 84X10 CM</v>
      </c>
      <c r="AB219" s="32" t="s">
        <v>904</v>
      </c>
    </row>
    <row r="220" spans="2:28" x14ac:dyDescent="0.25">
      <c r="B220" s="31" t="s">
        <v>6</v>
      </c>
      <c r="D220" s="32">
        <v>2003</v>
      </c>
      <c r="E220" s="31" t="s">
        <v>6</v>
      </c>
      <c r="F220" s="32" t="s">
        <v>248</v>
      </c>
      <c r="G220" s="32" t="s">
        <v>249</v>
      </c>
      <c r="H220" s="32" t="s">
        <v>97</v>
      </c>
      <c r="I220" s="31" t="s">
        <v>327</v>
      </c>
      <c r="J220" s="32" t="s">
        <v>93</v>
      </c>
      <c r="K220" s="34">
        <v>1</v>
      </c>
      <c r="L220" s="33"/>
      <c r="O220" s="34">
        <v>87</v>
      </c>
      <c r="P220" s="34">
        <v>25</v>
      </c>
      <c r="Q220" s="34" t="s">
        <v>94</v>
      </c>
      <c r="R220" s="34"/>
      <c r="S220" s="34" t="s">
        <v>166</v>
      </c>
      <c r="T220" s="34" t="s">
        <v>119</v>
      </c>
      <c r="U220" s="34" t="s">
        <v>185</v>
      </c>
      <c r="V220" s="34">
        <v>80</v>
      </c>
      <c r="W220" s="34" t="s">
        <v>89</v>
      </c>
      <c r="X220" s="32" t="str">
        <f t="shared" si="10"/>
        <v>Printed Insert Belly Band 87X25 CM</v>
      </c>
      <c r="Y220" s="33" t="s">
        <v>415</v>
      </c>
      <c r="Z220" s="32" t="str">
        <f t="shared" si="11"/>
        <v>Insert Belly Band 87x25 CM Pollar Cutting 80 Offset Paper</v>
      </c>
      <c r="AA220" s="32" t="str">
        <f t="shared" si="12"/>
        <v>Printed  Insert Belly Band 84.5X10 CM</v>
      </c>
      <c r="AB220" s="32" t="s">
        <v>905</v>
      </c>
    </row>
    <row r="221" spans="2:28" x14ac:dyDescent="0.25">
      <c r="B221" s="31" t="s">
        <v>6</v>
      </c>
      <c r="D221" s="32">
        <v>2003</v>
      </c>
      <c r="E221" s="31" t="s">
        <v>6</v>
      </c>
      <c r="F221" s="32" t="s">
        <v>248</v>
      </c>
      <c r="G221" s="32" t="s">
        <v>249</v>
      </c>
      <c r="H221" s="32" t="s">
        <v>97</v>
      </c>
      <c r="I221" s="31" t="s">
        <v>327</v>
      </c>
      <c r="J221" s="32" t="s">
        <v>93</v>
      </c>
      <c r="K221" s="34">
        <v>1</v>
      </c>
      <c r="L221" s="33"/>
      <c r="O221" s="34">
        <v>46</v>
      </c>
      <c r="P221" s="34">
        <v>12.5</v>
      </c>
      <c r="Q221" s="34" t="s">
        <v>94</v>
      </c>
      <c r="R221" s="34"/>
      <c r="S221" s="34" t="s">
        <v>166</v>
      </c>
      <c r="T221" s="34" t="s">
        <v>119</v>
      </c>
      <c r="U221" s="34" t="s">
        <v>185</v>
      </c>
      <c r="V221" s="34">
        <v>80</v>
      </c>
      <c r="W221" s="34" t="s">
        <v>89</v>
      </c>
      <c r="X221" s="32" t="str">
        <f t="shared" si="10"/>
        <v>Printed Insert Belly Band 46X12.5 CM</v>
      </c>
      <c r="Y221" s="33" t="s">
        <v>416</v>
      </c>
      <c r="Z221" s="32" t="str">
        <f t="shared" si="11"/>
        <v>Insert Belly Band 46x12.5 CM Pollar Cutting 80 Offset Paper</v>
      </c>
      <c r="AA221" s="32" t="str">
        <f t="shared" si="12"/>
        <v>Printed  Insert Belly Band 86X10 CM</v>
      </c>
      <c r="AB221" s="32" t="s">
        <v>906</v>
      </c>
    </row>
    <row r="222" spans="2:28" x14ac:dyDescent="0.25">
      <c r="B222" s="31" t="s">
        <v>6</v>
      </c>
      <c r="D222" s="32">
        <v>2003</v>
      </c>
      <c r="E222" s="31" t="s">
        <v>6</v>
      </c>
      <c r="F222" s="32" t="s">
        <v>248</v>
      </c>
      <c r="G222" s="32" t="s">
        <v>249</v>
      </c>
      <c r="H222" s="32" t="s">
        <v>97</v>
      </c>
      <c r="I222" s="31" t="s">
        <v>310</v>
      </c>
      <c r="J222" s="32" t="s">
        <v>93</v>
      </c>
      <c r="K222" s="34">
        <v>5</v>
      </c>
      <c r="L222" s="33"/>
      <c r="O222" s="34">
        <v>62</v>
      </c>
      <c r="P222" s="34">
        <v>35.5</v>
      </c>
      <c r="Q222" s="34" t="s">
        <v>94</v>
      </c>
      <c r="R222" s="34"/>
      <c r="S222" s="34" t="s">
        <v>122</v>
      </c>
      <c r="T222" s="32" t="s">
        <v>236</v>
      </c>
      <c r="U222" s="32" t="s">
        <v>110</v>
      </c>
      <c r="V222" s="34">
        <v>300</v>
      </c>
      <c r="W222" s="34" t="s">
        <v>89</v>
      </c>
      <c r="X222" s="32" t="str">
        <f t="shared" si="10"/>
        <v>Printed Insert Baner 62X35.5 CM</v>
      </c>
      <c r="Y222" s="33" t="s">
        <v>417</v>
      </c>
      <c r="Z222" s="32" t="str">
        <f t="shared" si="11"/>
        <v>Insert Baner 62x35.5 CM Die Cutting 300 Swedish Board</v>
      </c>
      <c r="AA222" s="32" t="str">
        <f t="shared" si="12"/>
        <v>Printed  Insert Belly Band 86.5X10 CM</v>
      </c>
      <c r="AB222" s="32" t="s">
        <v>907</v>
      </c>
    </row>
    <row r="223" spans="2:28" x14ac:dyDescent="0.25">
      <c r="B223" s="31" t="s">
        <v>6</v>
      </c>
      <c r="D223" s="32">
        <v>2003</v>
      </c>
      <c r="E223" s="31" t="s">
        <v>6</v>
      </c>
      <c r="F223" s="32" t="s">
        <v>248</v>
      </c>
      <c r="G223" s="32" t="s">
        <v>249</v>
      </c>
      <c r="H223" s="32" t="s">
        <v>97</v>
      </c>
      <c r="I223" s="31" t="s">
        <v>310</v>
      </c>
      <c r="J223" s="32" t="s">
        <v>93</v>
      </c>
      <c r="K223" s="34">
        <v>6</v>
      </c>
      <c r="L223" s="33"/>
      <c r="O223" s="34">
        <v>60</v>
      </c>
      <c r="P223" s="34">
        <v>35.5</v>
      </c>
      <c r="Q223" s="34" t="s">
        <v>94</v>
      </c>
      <c r="R223" s="34"/>
      <c r="S223" s="34" t="s">
        <v>122</v>
      </c>
      <c r="T223" s="32" t="s">
        <v>236</v>
      </c>
      <c r="U223" s="32" t="s">
        <v>110</v>
      </c>
      <c r="V223" s="34">
        <v>300</v>
      </c>
      <c r="W223" s="34" t="s">
        <v>89</v>
      </c>
      <c r="X223" s="32" t="str">
        <f t="shared" si="10"/>
        <v>Printed Insert Baner 60X35.5 CM</v>
      </c>
      <c r="Y223" s="33" t="s">
        <v>418</v>
      </c>
      <c r="Z223" s="32" t="str">
        <f t="shared" si="11"/>
        <v>Insert Baner 60x35.5 CM Die Cutting 300 Swedish Board</v>
      </c>
      <c r="AA223" s="32" t="str">
        <f t="shared" si="12"/>
        <v>Printed  Insert Belly Band 84X8.5 CM</v>
      </c>
      <c r="AB223" s="32" t="s">
        <v>908</v>
      </c>
    </row>
    <row r="224" spans="2:28" x14ac:dyDescent="0.25">
      <c r="B224" s="31" t="s">
        <v>6</v>
      </c>
      <c r="D224" s="32">
        <v>2003</v>
      </c>
      <c r="E224" s="31" t="s">
        <v>6</v>
      </c>
      <c r="F224" s="32" t="s">
        <v>248</v>
      </c>
      <c r="G224" s="32" t="s">
        <v>249</v>
      </c>
      <c r="H224" s="32" t="s">
        <v>97</v>
      </c>
      <c r="I224" s="31" t="s">
        <v>310</v>
      </c>
      <c r="J224" s="32" t="s">
        <v>93</v>
      </c>
      <c r="K224" s="34">
        <v>6</v>
      </c>
      <c r="L224" s="33"/>
      <c r="O224" s="34">
        <v>62</v>
      </c>
      <c r="P224" s="34">
        <v>16</v>
      </c>
      <c r="Q224" s="34" t="s">
        <v>94</v>
      </c>
      <c r="R224" s="34"/>
      <c r="S224" s="34" t="s">
        <v>122</v>
      </c>
      <c r="T224" s="32" t="s">
        <v>236</v>
      </c>
      <c r="U224" s="32" t="s">
        <v>110</v>
      </c>
      <c r="V224" s="34">
        <v>300</v>
      </c>
      <c r="W224" s="34" t="s">
        <v>89</v>
      </c>
      <c r="X224" s="32" t="str">
        <f t="shared" si="10"/>
        <v>Printed Insert Baner 62X16 CM</v>
      </c>
      <c r="Y224" s="33" t="s">
        <v>419</v>
      </c>
      <c r="Z224" s="32" t="str">
        <f t="shared" si="11"/>
        <v>Insert Baner 62x16 CM Die Cutting 300 Swedish Board</v>
      </c>
      <c r="AA224" s="32" t="str">
        <f t="shared" si="12"/>
        <v>Printed  Insert Belly Band 84.5X8.5 CM</v>
      </c>
      <c r="AB224" s="32" t="s">
        <v>909</v>
      </c>
    </row>
    <row r="225" spans="2:28" x14ac:dyDescent="0.25">
      <c r="B225" s="31" t="s">
        <v>6</v>
      </c>
      <c r="D225" s="32">
        <v>2003</v>
      </c>
      <c r="E225" s="31" t="s">
        <v>6</v>
      </c>
      <c r="F225" s="32" t="s">
        <v>248</v>
      </c>
      <c r="G225" s="32" t="s">
        <v>249</v>
      </c>
      <c r="H225" s="32" t="s">
        <v>97</v>
      </c>
      <c r="I225" s="31" t="s">
        <v>310</v>
      </c>
      <c r="J225" s="32" t="s">
        <v>93</v>
      </c>
      <c r="K225" s="34">
        <v>6</v>
      </c>
      <c r="L225" s="33"/>
      <c r="O225" s="34">
        <v>59</v>
      </c>
      <c r="P225" s="34">
        <v>36</v>
      </c>
      <c r="Q225" s="34" t="s">
        <v>94</v>
      </c>
      <c r="R225" s="34"/>
      <c r="S225" s="34" t="s">
        <v>122</v>
      </c>
      <c r="T225" s="32" t="s">
        <v>236</v>
      </c>
      <c r="U225" s="32" t="s">
        <v>110</v>
      </c>
      <c r="V225" s="34">
        <v>300</v>
      </c>
      <c r="W225" s="34" t="s">
        <v>89</v>
      </c>
      <c r="X225" s="32" t="str">
        <f t="shared" si="10"/>
        <v>Printed Insert Baner 59X36 CM</v>
      </c>
      <c r="Y225" s="33" t="s">
        <v>420</v>
      </c>
      <c r="Z225" s="32" t="str">
        <f t="shared" si="11"/>
        <v>Insert Baner 59x36 CM Die Cutting 300 Swedish Board</v>
      </c>
      <c r="AA225" s="32" t="str">
        <f t="shared" si="12"/>
        <v>Printed  Insert Belly Band 86X8.5 CM</v>
      </c>
      <c r="AB225" s="32" t="s">
        <v>910</v>
      </c>
    </row>
    <row r="226" spans="2:28" x14ac:dyDescent="0.25">
      <c r="B226" s="31" t="s">
        <v>6</v>
      </c>
      <c r="D226" s="32">
        <v>2003</v>
      </c>
      <c r="E226" s="31" t="s">
        <v>6</v>
      </c>
      <c r="F226" s="32" t="s">
        <v>248</v>
      </c>
      <c r="G226" s="32" t="s">
        <v>249</v>
      </c>
      <c r="H226" s="32" t="s">
        <v>97</v>
      </c>
      <c r="I226" s="31" t="s">
        <v>310</v>
      </c>
      <c r="J226" s="32" t="s">
        <v>93</v>
      </c>
      <c r="K226" s="34">
        <v>5</v>
      </c>
      <c r="L226" s="33"/>
      <c r="O226" s="34">
        <v>62</v>
      </c>
      <c r="P226" s="34">
        <v>10</v>
      </c>
      <c r="Q226" s="34" t="s">
        <v>94</v>
      </c>
      <c r="R226" s="34"/>
      <c r="S226" s="34" t="s">
        <v>122</v>
      </c>
      <c r="T226" s="32" t="s">
        <v>236</v>
      </c>
      <c r="U226" s="32" t="s">
        <v>110</v>
      </c>
      <c r="V226" s="34">
        <v>300</v>
      </c>
      <c r="W226" s="34" t="s">
        <v>89</v>
      </c>
      <c r="X226" s="32" t="str">
        <f t="shared" si="10"/>
        <v>Printed Insert Baner 62X10 CM</v>
      </c>
      <c r="Y226" s="33" t="s">
        <v>421</v>
      </c>
      <c r="Z226" s="32" t="str">
        <f t="shared" si="11"/>
        <v>Insert Baner 62x10 CM Die Cutting 300 Swedish Board</v>
      </c>
      <c r="AA226" s="32" t="str">
        <f t="shared" si="12"/>
        <v>Printed  Insert Belly Band 86.5X8.5 CM</v>
      </c>
      <c r="AB226" s="32" t="s">
        <v>911</v>
      </c>
    </row>
    <row r="227" spans="2:28" x14ac:dyDescent="0.25">
      <c r="B227" s="31" t="s">
        <v>6</v>
      </c>
      <c r="D227" s="32">
        <v>2003</v>
      </c>
      <c r="E227" s="31" t="s">
        <v>6</v>
      </c>
      <c r="F227" s="32" t="s">
        <v>248</v>
      </c>
      <c r="G227" s="32" t="s">
        <v>249</v>
      </c>
      <c r="H227" s="32" t="s">
        <v>97</v>
      </c>
      <c r="I227" s="31" t="s">
        <v>327</v>
      </c>
      <c r="J227" s="32" t="s">
        <v>93</v>
      </c>
      <c r="K227" s="34">
        <v>5</v>
      </c>
      <c r="L227" s="31"/>
      <c r="O227" s="34">
        <v>84</v>
      </c>
      <c r="P227" s="34">
        <v>10</v>
      </c>
      <c r="Q227" s="34" t="s">
        <v>94</v>
      </c>
      <c r="R227" s="34"/>
      <c r="S227" s="34" t="s">
        <v>122</v>
      </c>
      <c r="T227" s="34" t="s">
        <v>119</v>
      </c>
      <c r="U227" s="32" t="s">
        <v>110</v>
      </c>
      <c r="V227" s="34">
        <v>300</v>
      </c>
      <c r="W227" s="34" t="s">
        <v>89</v>
      </c>
      <c r="X227" s="32" t="str">
        <f t="shared" si="10"/>
        <v>Printed Insert Belly Band 84X10 CM</v>
      </c>
      <c r="Y227" s="31" t="s">
        <v>422</v>
      </c>
      <c r="Z227" s="32" t="str">
        <f t="shared" si="11"/>
        <v>Insert Belly Band 84x10 CM Pollar Cutting 300 Swedish Board</v>
      </c>
      <c r="AA227" s="32" t="str">
        <f t="shared" si="12"/>
        <v>Printed  Insert Belly Band 44.5X10 CM</v>
      </c>
      <c r="AB227" s="32" t="s">
        <v>912</v>
      </c>
    </row>
    <row r="228" spans="2:28" x14ac:dyDescent="0.25">
      <c r="B228" s="31" t="s">
        <v>6</v>
      </c>
      <c r="D228" s="32">
        <v>2003</v>
      </c>
      <c r="E228" s="31" t="s">
        <v>6</v>
      </c>
      <c r="F228" s="32" t="s">
        <v>248</v>
      </c>
      <c r="G228" s="32" t="s">
        <v>249</v>
      </c>
      <c r="H228" s="32" t="s">
        <v>97</v>
      </c>
      <c r="I228" s="31" t="s">
        <v>327</v>
      </c>
      <c r="J228" s="32" t="s">
        <v>93</v>
      </c>
      <c r="K228" s="34">
        <v>5</v>
      </c>
      <c r="L228" s="33"/>
      <c r="O228" s="34">
        <v>84.5</v>
      </c>
      <c r="P228" s="34">
        <v>10</v>
      </c>
      <c r="Q228" s="34" t="s">
        <v>94</v>
      </c>
      <c r="R228" s="34"/>
      <c r="S228" s="34" t="s">
        <v>122</v>
      </c>
      <c r="T228" s="34" t="s">
        <v>119</v>
      </c>
      <c r="U228" s="32" t="s">
        <v>110</v>
      </c>
      <c r="V228" s="34">
        <v>300</v>
      </c>
      <c r="W228" s="34" t="s">
        <v>89</v>
      </c>
      <c r="X228" s="32" t="str">
        <f t="shared" si="10"/>
        <v>Printed Insert Belly Band 84.5X10 CM</v>
      </c>
      <c r="Y228" s="33" t="s">
        <v>423</v>
      </c>
      <c r="Z228" s="32" t="str">
        <f t="shared" si="11"/>
        <v>Insert Belly Band 84.5x10 CM Pollar Cutting 300 Swedish Board</v>
      </c>
      <c r="AA228" s="32" t="str">
        <f t="shared" si="12"/>
        <v>Printed  Insert  65X47.5 CM</v>
      </c>
      <c r="AB228" s="32" t="s">
        <v>913</v>
      </c>
    </row>
    <row r="229" spans="2:28" x14ac:dyDescent="0.25">
      <c r="B229" s="31" t="s">
        <v>6</v>
      </c>
      <c r="D229" s="32">
        <v>2003</v>
      </c>
      <c r="E229" s="31" t="s">
        <v>6</v>
      </c>
      <c r="F229" s="32" t="s">
        <v>248</v>
      </c>
      <c r="G229" s="32" t="s">
        <v>249</v>
      </c>
      <c r="H229" s="32" t="s">
        <v>97</v>
      </c>
      <c r="I229" s="31" t="s">
        <v>327</v>
      </c>
      <c r="J229" s="32" t="s">
        <v>93</v>
      </c>
      <c r="K229" s="34">
        <v>5</v>
      </c>
      <c r="L229" s="33"/>
      <c r="O229" s="34">
        <v>86</v>
      </c>
      <c r="P229" s="34">
        <v>10</v>
      </c>
      <c r="Q229" s="34" t="s">
        <v>94</v>
      </c>
      <c r="R229" s="34"/>
      <c r="S229" s="34" t="s">
        <v>122</v>
      </c>
      <c r="T229" s="34" t="s">
        <v>119</v>
      </c>
      <c r="U229" s="32" t="s">
        <v>110</v>
      </c>
      <c r="V229" s="34">
        <v>300</v>
      </c>
      <c r="W229" s="34" t="s">
        <v>89</v>
      </c>
      <c r="X229" s="32" t="str">
        <f t="shared" si="10"/>
        <v>Printed Insert Belly Band 86X10 CM</v>
      </c>
      <c r="Y229" s="33" t="s">
        <v>424</v>
      </c>
      <c r="Z229" s="32" t="str">
        <f t="shared" si="11"/>
        <v>Insert Belly Band 86x10 CM Pollar Cutting 300 Swedish Board</v>
      </c>
      <c r="AA229" s="32" t="str">
        <f t="shared" si="12"/>
        <v>Printed  Insert  21.5X15 CM</v>
      </c>
      <c r="AB229" s="32" t="s">
        <v>914</v>
      </c>
    </row>
    <row r="230" spans="2:28" x14ac:dyDescent="0.25">
      <c r="B230" s="31" t="s">
        <v>6</v>
      </c>
      <c r="D230" s="32">
        <v>2003</v>
      </c>
      <c r="E230" s="31" t="s">
        <v>6</v>
      </c>
      <c r="F230" s="32" t="s">
        <v>248</v>
      </c>
      <c r="G230" s="32" t="s">
        <v>249</v>
      </c>
      <c r="H230" s="32" t="s">
        <v>97</v>
      </c>
      <c r="I230" s="31" t="s">
        <v>327</v>
      </c>
      <c r="J230" s="32" t="s">
        <v>93</v>
      </c>
      <c r="K230" s="34">
        <v>5</v>
      </c>
      <c r="L230" s="33"/>
      <c r="O230" s="34">
        <v>86.5</v>
      </c>
      <c r="P230" s="34">
        <v>10</v>
      </c>
      <c r="Q230" s="34" t="s">
        <v>94</v>
      </c>
      <c r="R230" s="34"/>
      <c r="S230" s="34" t="s">
        <v>122</v>
      </c>
      <c r="T230" s="34" t="s">
        <v>119</v>
      </c>
      <c r="U230" s="32" t="s">
        <v>110</v>
      </c>
      <c r="V230" s="34">
        <v>300</v>
      </c>
      <c r="W230" s="34" t="s">
        <v>89</v>
      </c>
      <c r="X230" s="32" t="str">
        <f t="shared" si="10"/>
        <v>Printed Insert Belly Band 86.5X10 CM</v>
      </c>
      <c r="Y230" s="33" t="s">
        <v>425</v>
      </c>
      <c r="Z230" s="32" t="str">
        <f t="shared" si="11"/>
        <v>Insert Belly Band 86.5x10 CM Pollar Cutting 300 Swedish Board</v>
      </c>
      <c r="AA230" s="32" t="str">
        <f t="shared" si="12"/>
        <v>Printed  Insert Baner 45X12.5 CM</v>
      </c>
      <c r="AB230" s="32" t="s">
        <v>915</v>
      </c>
    </row>
    <row r="231" spans="2:28" x14ac:dyDescent="0.25">
      <c r="B231" s="31" t="s">
        <v>6</v>
      </c>
      <c r="D231" s="32">
        <v>2003</v>
      </c>
      <c r="E231" s="31" t="s">
        <v>6</v>
      </c>
      <c r="F231" s="32" t="s">
        <v>248</v>
      </c>
      <c r="G231" s="32" t="s">
        <v>249</v>
      </c>
      <c r="H231" s="32" t="s">
        <v>97</v>
      </c>
      <c r="I231" s="31" t="s">
        <v>327</v>
      </c>
      <c r="J231" s="32" t="s">
        <v>93</v>
      </c>
      <c r="K231" s="34">
        <v>5</v>
      </c>
      <c r="L231" s="33"/>
      <c r="O231" s="34">
        <v>84</v>
      </c>
      <c r="P231" s="34">
        <v>8.5</v>
      </c>
      <c r="Q231" s="34" t="s">
        <v>94</v>
      </c>
      <c r="R231" s="34"/>
      <c r="S231" s="34" t="s">
        <v>122</v>
      </c>
      <c r="T231" s="34" t="s">
        <v>119</v>
      </c>
      <c r="U231" s="32" t="s">
        <v>110</v>
      </c>
      <c r="V231" s="34">
        <v>300</v>
      </c>
      <c r="W231" s="34" t="s">
        <v>89</v>
      </c>
      <c r="X231" s="32" t="str">
        <f t="shared" si="10"/>
        <v>Printed Insert Belly Band 84X8.5 CM</v>
      </c>
      <c r="Y231" s="31" t="s">
        <v>426</v>
      </c>
      <c r="Z231" s="32" t="str">
        <f t="shared" si="11"/>
        <v>Insert Belly Band 84x8.5 CM Pollar Cutting 300 Swedish Board</v>
      </c>
      <c r="AA231" s="32" t="str">
        <f t="shared" si="12"/>
        <v>Printed  Insert Baner 47X12.5 CM</v>
      </c>
      <c r="AB231" s="32" t="s">
        <v>916</v>
      </c>
    </row>
    <row r="232" spans="2:28" x14ac:dyDescent="0.25">
      <c r="B232" s="31" t="s">
        <v>6</v>
      </c>
      <c r="D232" s="32">
        <v>2003</v>
      </c>
      <c r="E232" s="31" t="s">
        <v>6</v>
      </c>
      <c r="F232" s="32" t="s">
        <v>248</v>
      </c>
      <c r="G232" s="32" t="s">
        <v>249</v>
      </c>
      <c r="H232" s="32" t="s">
        <v>97</v>
      </c>
      <c r="I232" s="31" t="s">
        <v>327</v>
      </c>
      <c r="J232" s="32" t="s">
        <v>93</v>
      </c>
      <c r="K232" s="34">
        <v>5</v>
      </c>
      <c r="L232" s="33"/>
      <c r="O232" s="34">
        <v>84.5</v>
      </c>
      <c r="P232" s="34">
        <v>8.5</v>
      </c>
      <c r="Q232" s="34" t="s">
        <v>94</v>
      </c>
      <c r="R232" s="34"/>
      <c r="S232" s="34" t="s">
        <v>122</v>
      </c>
      <c r="T232" s="34" t="s">
        <v>119</v>
      </c>
      <c r="U232" s="32" t="s">
        <v>110</v>
      </c>
      <c r="V232" s="34">
        <v>300</v>
      </c>
      <c r="W232" s="34" t="s">
        <v>89</v>
      </c>
      <c r="X232" s="32" t="str">
        <f t="shared" si="10"/>
        <v>Printed Insert Belly Band 84.5X8.5 CM</v>
      </c>
      <c r="Y232" s="33" t="s">
        <v>427</v>
      </c>
      <c r="Z232" s="32" t="str">
        <f t="shared" si="11"/>
        <v>Insert Belly Band 84.5x8.5 CM Pollar Cutting 300 Swedish Board</v>
      </c>
      <c r="AA232" s="32" t="str">
        <f t="shared" si="12"/>
        <v>Printed  Insert Baner 49X12.5 CM</v>
      </c>
      <c r="AB232" s="32" t="s">
        <v>917</v>
      </c>
    </row>
    <row r="233" spans="2:28" x14ac:dyDescent="0.25">
      <c r="B233" s="31" t="s">
        <v>6</v>
      </c>
      <c r="D233" s="32">
        <v>2003</v>
      </c>
      <c r="E233" s="31" t="s">
        <v>6</v>
      </c>
      <c r="F233" s="32" t="s">
        <v>248</v>
      </c>
      <c r="G233" s="32" t="s">
        <v>249</v>
      </c>
      <c r="H233" s="32" t="s">
        <v>97</v>
      </c>
      <c r="I233" s="31" t="s">
        <v>327</v>
      </c>
      <c r="J233" s="32" t="s">
        <v>93</v>
      </c>
      <c r="K233" s="34">
        <v>5</v>
      </c>
      <c r="L233" s="33"/>
      <c r="O233" s="34">
        <v>86</v>
      </c>
      <c r="P233" s="34">
        <v>8.5</v>
      </c>
      <c r="Q233" s="34" t="s">
        <v>94</v>
      </c>
      <c r="R233" s="34"/>
      <c r="S233" s="34" t="s">
        <v>122</v>
      </c>
      <c r="T233" s="34" t="s">
        <v>119</v>
      </c>
      <c r="U233" s="32" t="s">
        <v>110</v>
      </c>
      <c r="V233" s="34">
        <v>300</v>
      </c>
      <c r="W233" s="34" t="s">
        <v>89</v>
      </c>
      <c r="X233" s="32" t="str">
        <f t="shared" si="10"/>
        <v>Printed Insert Belly Band 86X8.5 CM</v>
      </c>
      <c r="Y233" s="33" t="s">
        <v>428</v>
      </c>
      <c r="Z233" s="32" t="str">
        <f t="shared" si="11"/>
        <v>Insert Belly Band 86x8.5 CM Pollar Cutting 300 Swedish Board</v>
      </c>
      <c r="AA233" s="32" t="str">
        <f t="shared" si="12"/>
        <v>Printed  Insert Baner 36X10 CM</v>
      </c>
      <c r="AB233" s="32" t="s">
        <v>918</v>
      </c>
    </row>
    <row r="234" spans="2:28" x14ac:dyDescent="0.25">
      <c r="B234" s="31" t="s">
        <v>6</v>
      </c>
      <c r="D234" s="32">
        <v>2003</v>
      </c>
      <c r="E234" s="31" t="s">
        <v>6</v>
      </c>
      <c r="F234" s="32" t="s">
        <v>248</v>
      </c>
      <c r="G234" s="32" t="s">
        <v>249</v>
      </c>
      <c r="H234" s="32" t="s">
        <v>97</v>
      </c>
      <c r="I234" s="31" t="s">
        <v>327</v>
      </c>
      <c r="J234" s="32" t="s">
        <v>93</v>
      </c>
      <c r="K234" s="34">
        <v>5</v>
      </c>
      <c r="L234" s="33"/>
      <c r="O234" s="34">
        <v>86.5</v>
      </c>
      <c r="P234" s="34">
        <v>8.5</v>
      </c>
      <c r="Q234" s="34" t="s">
        <v>94</v>
      </c>
      <c r="R234" s="34"/>
      <c r="S234" s="34" t="s">
        <v>122</v>
      </c>
      <c r="T234" s="34" t="s">
        <v>119</v>
      </c>
      <c r="U234" s="32" t="s">
        <v>110</v>
      </c>
      <c r="V234" s="34">
        <v>300</v>
      </c>
      <c r="W234" s="34" t="s">
        <v>89</v>
      </c>
      <c r="X234" s="32" t="str">
        <f t="shared" si="10"/>
        <v>Printed Insert Belly Band 86.5X8.5 CM</v>
      </c>
      <c r="Y234" s="33" t="s">
        <v>429</v>
      </c>
      <c r="Z234" s="32" t="str">
        <f t="shared" si="11"/>
        <v>Insert Belly Band 86.5x8.5 CM Pollar Cutting 300 Swedish Board</v>
      </c>
      <c r="AA234" s="32" t="str">
        <f t="shared" si="12"/>
        <v>Printed  Insert Baner 61X12 CM</v>
      </c>
      <c r="AB234" s="32" t="s">
        <v>919</v>
      </c>
    </row>
    <row r="235" spans="2:28" x14ac:dyDescent="0.25">
      <c r="B235" s="31" t="s">
        <v>6</v>
      </c>
      <c r="D235" s="32">
        <v>2003</v>
      </c>
      <c r="E235" s="31" t="s">
        <v>6</v>
      </c>
      <c r="F235" s="32" t="s">
        <v>248</v>
      </c>
      <c r="G235" s="32" t="s">
        <v>249</v>
      </c>
      <c r="H235" s="32" t="s">
        <v>97</v>
      </c>
      <c r="I235" s="31" t="s">
        <v>327</v>
      </c>
      <c r="J235" s="32" t="s">
        <v>93</v>
      </c>
      <c r="K235" s="34">
        <v>5</v>
      </c>
      <c r="L235" s="33"/>
      <c r="O235" s="34">
        <v>44.5</v>
      </c>
      <c r="P235" s="34">
        <v>10</v>
      </c>
      <c r="Q235" s="34" t="s">
        <v>94</v>
      </c>
      <c r="R235" s="34"/>
      <c r="S235" s="34" t="s">
        <v>122</v>
      </c>
      <c r="T235" s="34" t="s">
        <v>119</v>
      </c>
      <c r="U235" s="32" t="s">
        <v>110</v>
      </c>
      <c r="V235" s="34">
        <v>300</v>
      </c>
      <c r="W235" s="34" t="s">
        <v>89</v>
      </c>
      <c r="X235" s="32" t="str">
        <f t="shared" si="10"/>
        <v>Printed Insert Belly Band 44.5X10 CM</v>
      </c>
      <c r="Y235" s="33" t="s">
        <v>430</v>
      </c>
      <c r="Z235" s="32" t="str">
        <f t="shared" si="11"/>
        <v>Insert Belly Band 44.5x10 CM Pollar Cutting 300 Swedish Board</v>
      </c>
      <c r="AA235" s="32" t="str">
        <f t="shared" si="12"/>
        <v>Printed  Insert Baner 64X12 CM</v>
      </c>
      <c r="AB235" s="32" t="s">
        <v>920</v>
      </c>
    </row>
    <row r="236" spans="2:28" x14ac:dyDescent="0.25">
      <c r="B236" s="31" t="s">
        <v>6</v>
      </c>
      <c r="D236" s="32">
        <v>2003</v>
      </c>
      <c r="E236" s="31" t="s">
        <v>6</v>
      </c>
      <c r="F236" s="32" t="s">
        <v>248</v>
      </c>
      <c r="G236" s="32" t="s">
        <v>249</v>
      </c>
      <c r="H236" s="32" t="s">
        <v>140</v>
      </c>
      <c r="I236" s="31" t="s">
        <v>112</v>
      </c>
      <c r="J236" s="32" t="s">
        <v>93</v>
      </c>
      <c r="K236" s="34">
        <v>5</v>
      </c>
      <c r="L236" s="33"/>
      <c r="O236" s="34">
        <v>65</v>
      </c>
      <c r="P236" s="34">
        <v>47.5</v>
      </c>
      <c r="Q236" s="34" t="s">
        <v>94</v>
      </c>
      <c r="R236" s="34"/>
      <c r="S236" s="34" t="s">
        <v>122</v>
      </c>
      <c r="T236" s="34" t="s">
        <v>119</v>
      </c>
      <c r="U236" s="32" t="s">
        <v>110</v>
      </c>
      <c r="V236" s="34">
        <v>300</v>
      </c>
      <c r="W236" s="34" t="s">
        <v>89</v>
      </c>
      <c r="X236" s="32" t="str">
        <f t="shared" si="10"/>
        <v>Printed Insert  65X47.5 CM</v>
      </c>
      <c r="Y236" s="33" t="s">
        <v>431</v>
      </c>
      <c r="Z236" s="32" t="str">
        <f t="shared" si="11"/>
        <v>Insert  65x47.5 CM Pollar Cutting 300 Swedish Board</v>
      </c>
      <c r="AA236" s="32" t="str">
        <f t="shared" si="12"/>
        <v>Printed  Insert Baner 66X12 CM</v>
      </c>
      <c r="AB236" s="32" t="s">
        <v>921</v>
      </c>
    </row>
    <row r="237" spans="2:28" x14ac:dyDescent="0.25">
      <c r="B237" s="31" t="s">
        <v>6</v>
      </c>
      <c r="D237" s="32">
        <v>2003</v>
      </c>
      <c r="E237" s="31" t="s">
        <v>6</v>
      </c>
      <c r="F237" s="32" t="s">
        <v>248</v>
      </c>
      <c r="G237" s="32" t="s">
        <v>249</v>
      </c>
      <c r="H237" s="32" t="s">
        <v>97</v>
      </c>
      <c r="I237" s="31" t="s">
        <v>112</v>
      </c>
      <c r="J237" s="32" t="s">
        <v>93</v>
      </c>
      <c r="K237" s="34">
        <v>5</v>
      </c>
      <c r="L237" s="33"/>
      <c r="O237" s="34">
        <v>21.5</v>
      </c>
      <c r="P237" s="34">
        <v>15</v>
      </c>
      <c r="Q237" s="34" t="s">
        <v>94</v>
      </c>
      <c r="R237" s="34"/>
      <c r="S237" s="34" t="s">
        <v>122</v>
      </c>
      <c r="T237" s="34" t="s">
        <v>119</v>
      </c>
      <c r="U237" s="34" t="s">
        <v>237</v>
      </c>
      <c r="V237" s="34">
        <v>200</v>
      </c>
      <c r="W237" s="34" t="s">
        <v>89</v>
      </c>
      <c r="X237" s="32" t="str">
        <f t="shared" si="10"/>
        <v>Printed Insert  21.5X15 CM</v>
      </c>
      <c r="Y237" s="33" t="s">
        <v>432</v>
      </c>
      <c r="Z237" s="32" t="str">
        <f t="shared" si="11"/>
        <v>Insert  21.5x15 CM Pollar Cutting 200 Art Card</v>
      </c>
      <c r="AA237" s="32" t="str">
        <f t="shared" si="12"/>
        <v>Printed  Insert Baner 68X12 CM</v>
      </c>
      <c r="AB237" s="32" t="s">
        <v>922</v>
      </c>
    </row>
    <row r="238" spans="2:28" x14ac:dyDescent="0.25">
      <c r="B238" s="31" t="s">
        <v>6</v>
      </c>
      <c r="D238" s="32">
        <v>2003</v>
      </c>
      <c r="E238" s="31" t="s">
        <v>6</v>
      </c>
      <c r="F238" s="32" t="s">
        <v>248</v>
      </c>
      <c r="G238" s="32" t="s">
        <v>249</v>
      </c>
      <c r="H238" s="32" t="s">
        <v>97</v>
      </c>
      <c r="I238" s="31" t="s">
        <v>310</v>
      </c>
      <c r="J238" s="32" t="s">
        <v>93</v>
      </c>
      <c r="K238" s="34">
        <v>2</v>
      </c>
      <c r="L238" s="33"/>
      <c r="O238" s="34">
        <v>45</v>
      </c>
      <c r="P238" s="34">
        <v>12.5</v>
      </c>
      <c r="Q238" s="34" t="s">
        <v>94</v>
      </c>
      <c r="R238" s="34" t="s">
        <v>328</v>
      </c>
      <c r="S238" s="34" t="s">
        <v>122</v>
      </c>
      <c r="T238" s="34" t="s">
        <v>119</v>
      </c>
      <c r="U238" s="34" t="s">
        <v>237</v>
      </c>
      <c r="V238" s="34">
        <v>200</v>
      </c>
      <c r="W238" s="34" t="s">
        <v>89</v>
      </c>
      <c r="X238" s="32" t="str">
        <f t="shared" si="10"/>
        <v>Printed Insert Baner 45X12.5 CM</v>
      </c>
      <c r="Y238" s="33" t="s">
        <v>433</v>
      </c>
      <c r="Z238" s="32" t="str">
        <f t="shared" si="11"/>
        <v>Insert Baner 45x12.5 CM Pollar Cutting 200 Art Card</v>
      </c>
      <c r="AA238" s="32" t="str">
        <f t="shared" si="12"/>
        <v>Printed Matt/Glossy Band Roll  84.5X10 CM</v>
      </c>
      <c r="AB238" s="32" t="s">
        <v>923</v>
      </c>
    </row>
    <row r="239" spans="2:28" x14ac:dyDescent="0.25">
      <c r="B239" s="31" t="s">
        <v>6</v>
      </c>
      <c r="D239" s="32">
        <v>2003</v>
      </c>
      <c r="E239" s="31" t="s">
        <v>6</v>
      </c>
      <c r="F239" s="32" t="s">
        <v>248</v>
      </c>
      <c r="G239" s="32" t="s">
        <v>249</v>
      </c>
      <c r="H239" s="32" t="s">
        <v>97</v>
      </c>
      <c r="I239" s="31" t="s">
        <v>310</v>
      </c>
      <c r="J239" s="32" t="s">
        <v>93</v>
      </c>
      <c r="K239" s="34">
        <v>2</v>
      </c>
      <c r="L239" s="33"/>
      <c r="O239" s="34">
        <v>47</v>
      </c>
      <c r="P239" s="34">
        <v>12.5</v>
      </c>
      <c r="Q239" s="34" t="s">
        <v>94</v>
      </c>
      <c r="R239" s="34" t="s">
        <v>328</v>
      </c>
      <c r="S239" s="34" t="s">
        <v>122</v>
      </c>
      <c r="T239" s="34" t="s">
        <v>119</v>
      </c>
      <c r="U239" s="34" t="s">
        <v>237</v>
      </c>
      <c r="V239" s="34">
        <v>200</v>
      </c>
      <c r="W239" s="34" t="s">
        <v>89</v>
      </c>
      <c r="X239" s="32" t="str">
        <f t="shared" si="10"/>
        <v>Printed Insert Baner 47X12.5 CM</v>
      </c>
      <c r="Y239" s="33" t="s">
        <v>434</v>
      </c>
      <c r="Z239" s="32" t="str">
        <f t="shared" si="11"/>
        <v>Insert Baner 47x12.5 CM Pollar Cutting 200 Art Card</v>
      </c>
      <c r="AA239" s="32" t="str">
        <f t="shared" si="12"/>
        <v>Printed Matt/Glossy Size Sticker  4X CM</v>
      </c>
      <c r="AB239" s="32" t="s">
        <v>924</v>
      </c>
    </row>
    <row r="240" spans="2:28" x14ac:dyDescent="0.25">
      <c r="B240" s="31" t="s">
        <v>6</v>
      </c>
      <c r="D240" s="32">
        <v>2003</v>
      </c>
      <c r="E240" s="31" t="s">
        <v>6</v>
      </c>
      <c r="F240" s="32" t="s">
        <v>248</v>
      </c>
      <c r="G240" s="32" t="s">
        <v>249</v>
      </c>
      <c r="H240" s="32" t="s">
        <v>97</v>
      </c>
      <c r="I240" s="31" t="s">
        <v>310</v>
      </c>
      <c r="J240" s="32" t="s">
        <v>93</v>
      </c>
      <c r="K240" s="34">
        <v>2</v>
      </c>
      <c r="L240" s="33"/>
      <c r="O240" s="34">
        <v>49</v>
      </c>
      <c r="P240" s="34">
        <v>12.5</v>
      </c>
      <c r="Q240" s="34" t="s">
        <v>94</v>
      </c>
      <c r="R240" s="34" t="s">
        <v>328</v>
      </c>
      <c r="S240" s="34" t="s">
        <v>122</v>
      </c>
      <c r="T240" s="34" t="s">
        <v>119</v>
      </c>
      <c r="U240" s="34" t="s">
        <v>237</v>
      </c>
      <c r="V240" s="34">
        <v>200</v>
      </c>
      <c r="W240" s="34" t="s">
        <v>89</v>
      </c>
      <c r="X240" s="32" t="str">
        <f t="shared" si="10"/>
        <v>Printed Insert Baner 49X12.5 CM</v>
      </c>
      <c r="Y240" s="33" t="s">
        <v>225</v>
      </c>
      <c r="Z240" s="32" t="str">
        <f t="shared" si="11"/>
        <v>Insert Baner 49x12.5 CM Pollar Cutting 200 Art Card</v>
      </c>
      <c r="AA240" s="32" t="str">
        <f t="shared" si="12"/>
        <v>Printed Matt/Glossy Size Sticker 3X3 CM</v>
      </c>
      <c r="AB240" s="32" t="s">
        <v>677</v>
      </c>
    </row>
    <row r="241" spans="2:28" x14ac:dyDescent="0.25">
      <c r="B241" s="31" t="s">
        <v>6</v>
      </c>
      <c r="D241" s="32">
        <v>2003</v>
      </c>
      <c r="E241" s="31" t="s">
        <v>6</v>
      </c>
      <c r="F241" s="32" t="s">
        <v>248</v>
      </c>
      <c r="G241" s="32" t="s">
        <v>249</v>
      </c>
      <c r="H241" s="32" t="s">
        <v>97</v>
      </c>
      <c r="I241" s="31" t="s">
        <v>310</v>
      </c>
      <c r="J241" s="32" t="s">
        <v>93</v>
      </c>
      <c r="K241" s="34">
        <v>2</v>
      </c>
      <c r="L241" s="33"/>
      <c r="O241" s="34">
        <v>36</v>
      </c>
      <c r="P241" s="34">
        <v>10</v>
      </c>
      <c r="Q241" s="34" t="s">
        <v>94</v>
      </c>
      <c r="R241" s="34" t="s">
        <v>328</v>
      </c>
      <c r="S241" s="34" t="s">
        <v>122</v>
      </c>
      <c r="T241" s="34" t="s">
        <v>119</v>
      </c>
      <c r="U241" s="34" t="s">
        <v>237</v>
      </c>
      <c r="V241" s="34">
        <v>200</v>
      </c>
      <c r="W241" s="34" t="s">
        <v>89</v>
      </c>
      <c r="X241" s="32" t="str">
        <f t="shared" si="10"/>
        <v>Printed Insert Baner 36X10 CM</v>
      </c>
      <c r="Y241" s="33" t="s">
        <v>435</v>
      </c>
      <c r="Z241" s="32" t="str">
        <f t="shared" si="11"/>
        <v>Insert Baner 36x10 CM Pollar Cutting 200 Art Card</v>
      </c>
      <c r="AA241" s="32" t="str">
        <f t="shared" si="12"/>
        <v>Printed Matt/Glossy Set Barcode 5.5X5 CM</v>
      </c>
      <c r="AB241" s="32" t="s">
        <v>678</v>
      </c>
    </row>
    <row r="242" spans="2:28" x14ac:dyDescent="0.25">
      <c r="B242" s="31" t="s">
        <v>6</v>
      </c>
      <c r="D242" s="32">
        <v>2003</v>
      </c>
      <c r="E242" s="31" t="s">
        <v>6</v>
      </c>
      <c r="F242" s="32" t="s">
        <v>248</v>
      </c>
      <c r="G242" s="32" t="s">
        <v>249</v>
      </c>
      <c r="H242" s="32" t="s">
        <v>97</v>
      </c>
      <c r="I242" s="31" t="s">
        <v>310</v>
      </c>
      <c r="J242" s="32" t="s">
        <v>93</v>
      </c>
      <c r="K242" s="34">
        <v>6</v>
      </c>
      <c r="L242" s="33"/>
      <c r="O242" s="34">
        <v>61</v>
      </c>
      <c r="P242" s="34">
        <v>12</v>
      </c>
      <c r="Q242" s="34" t="s">
        <v>94</v>
      </c>
      <c r="R242" s="34" t="s">
        <v>328</v>
      </c>
      <c r="S242" s="34" t="s">
        <v>122</v>
      </c>
      <c r="T242" s="34" t="s">
        <v>119</v>
      </c>
      <c r="U242" s="34" t="s">
        <v>237</v>
      </c>
      <c r="V242" s="34">
        <v>200</v>
      </c>
      <c r="W242" s="34" t="s">
        <v>89</v>
      </c>
      <c r="X242" s="32" t="str">
        <f t="shared" si="10"/>
        <v>Printed Insert Baner 61X12 CM</v>
      </c>
      <c r="Y242" s="33" t="s">
        <v>436</v>
      </c>
      <c r="Z242" s="32" t="str">
        <f t="shared" si="11"/>
        <v>Insert Baner 61x12 CM Pollar Cutting 200 Art Card</v>
      </c>
      <c r="AA242" s="32" t="str">
        <f t="shared" si="12"/>
        <v>Printed Matt/Glossy Carton Sticker  21X9.5 CM</v>
      </c>
      <c r="AB242" s="32" t="s">
        <v>925</v>
      </c>
    </row>
    <row r="243" spans="2:28" x14ac:dyDescent="0.25">
      <c r="B243" s="31" t="s">
        <v>6</v>
      </c>
      <c r="D243" s="32">
        <v>2003</v>
      </c>
      <c r="E243" s="31" t="s">
        <v>6</v>
      </c>
      <c r="F243" s="32" t="s">
        <v>248</v>
      </c>
      <c r="G243" s="32" t="s">
        <v>249</v>
      </c>
      <c r="H243" s="32" t="s">
        <v>97</v>
      </c>
      <c r="I243" s="31" t="s">
        <v>310</v>
      </c>
      <c r="J243" s="32" t="s">
        <v>93</v>
      </c>
      <c r="K243" s="34">
        <v>5</v>
      </c>
      <c r="L243" s="33"/>
      <c r="O243" s="34">
        <v>64</v>
      </c>
      <c r="P243" s="34">
        <v>12</v>
      </c>
      <c r="Q243" s="34" t="s">
        <v>94</v>
      </c>
      <c r="R243" s="34" t="s">
        <v>328</v>
      </c>
      <c r="S243" s="34" t="s">
        <v>122</v>
      </c>
      <c r="T243" s="34" t="s">
        <v>119</v>
      </c>
      <c r="U243" s="34" t="s">
        <v>237</v>
      </c>
      <c r="V243" s="34">
        <v>200</v>
      </c>
      <c r="W243" s="34" t="s">
        <v>89</v>
      </c>
      <c r="X243" s="32" t="str">
        <f t="shared" si="10"/>
        <v>Printed Insert Baner 64X12 CM</v>
      </c>
      <c r="Y243" s="33" t="s">
        <v>437</v>
      </c>
      <c r="Z243" s="32" t="str">
        <f t="shared" si="11"/>
        <v>Insert Baner 64x12 CM Pollar Cutting 200 Art Card</v>
      </c>
      <c r="AA243" s="32" t="str">
        <f t="shared" si="12"/>
        <v>Printed Matt/Glossy Band Roll 85.9X15 CM</v>
      </c>
      <c r="AB243" s="32" t="s">
        <v>679</v>
      </c>
    </row>
    <row r="244" spans="2:28" x14ac:dyDescent="0.25">
      <c r="B244" s="31" t="s">
        <v>6</v>
      </c>
      <c r="D244" s="32">
        <v>2003</v>
      </c>
      <c r="E244" s="31" t="s">
        <v>6</v>
      </c>
      <c r="F244" s="32" t="s">
        <v>248</v>
      </c>
      <c r="G244" s="32" t="s">
        <v>249</v>
      </c>
      <c r="H244" s="32" t="s">
        <v>97</v>
      </c>
      <c r="I244" s="31" t="s">
        <v>310</v>
      </c>
      <c r="J244" s="32" t="s">
        <v>93</v>
      </c>
      <c r="K244" s="34">
        <v>5</v>
      </c>
      <c r="L244" s="33"/>
      <c r="O244" s="34">
        <v>66</v>
      </c>
      <c r="P244" s="34">
        <v>12</v>
      </c>
      <c r="Q244" s="34" t="s">
        <v>94</v>
      </c>
      <c r="R244" s="34" t="s">
        <v>328</v>
      </c>
      <c r="S244" s="34" t="s">
        <v>122</v>
      </c>
      <c r="T244" s="34" t="s">
        <v>119</v>
      </c>
      <c r="U244" s="34" t="s">
        <v>237</v>
      </c>
      <c r="V244" s="34">
        <v>200</v>
      </c>
      <c r="W244" s="34" t="s">
        <v>89</v>
      </c>
      <c r="X244" s="32" t="str">
        <f t="shared" si="10"/>
        <v>Printed Insert Baner 66X12 CM</v>
      </c>
      <c r="Y244" s="33" t="s">
        <v>438</v>
      </c>
      <c r="Z244" s="32" t="str">
        <f t="shared" si="11"/>
        <v>Insert Baner 66x12 CM Pollar Cutting 200 Art Card</v>
      </c>
      <c r="AA244" s="32" t="str">
        <f t="shared" si="12"/>
        <v>Printed Matt/Glossy Band Roll 87.9X15 CM</v>
      </c>
      <c r="AB244" s="32" t="s">
        <v>680</v>
      </c>
    </row>
    <row r="245" spans="2:28" x14ac:dyDescent="0.25">
      <c r="B245" s="31" t="s">
        <v>6</v>
      </c>
      <c r="D245" s="32">
        <v>2003</v>
      </c>
      <c r="E245" s="31" t="s">
        <v>6</v>
      </c>
      <c r="F245" s="32" t="s">
        <v>248</v>
      </c>
      <c r="G245" s="32" t="s">
        <v>249</v>
      </c>
      <c r="H245" s="32" t="s">
        <v>97</v>
      </c>
      <c r="I245" s="31" t="s">
        <v>310</v>
      </c>
      <c r="J245" s="32" t="s">
        <v>93</v>
      </c>
      <c r="K245" s="34">
        <v>5</v>
      </c>
      <c r="L245" s="33"/>
      <c r="O245" s="34">
        <v>68</v>
      </c>
      <c r="P245" s="34">
        <v>12</v>
      </c>
      <c r="Q245" s="34" t="s">
        <v>94</v>
      </c>
      <c r="R245" s="34" t="s">
        <v>328</v>
      </c>
      <c r="S245" s="34"/>
      <c r="T245" s="34" t="s">
        <v>119</v>
      </c>
      <c r="U245" s="34" t="s">
        <v>237</v>
      </c>
      <c r="V245" s="34">
        <v>200</v>
      </c>
      <c r="W245" s="34" t="s">
        <v>89</v>
      </c>
      <c r="X245" s="32" t="str">
        <f t="shared" si="10"/>
        <v>Printed Insert Baner 68X12 CM</v>
      </c>
      <c r="Y245" s="33" t="s">
        <v>439</v>
      </c>
      <c r="Z245" s="32" t="str">
        <f t="shared" si="11"/>
        <v>Insert Baner 68x12 CM Pollar Cutting 200 Art Card</v>
      </c>
      <c r="AA245" s="32" t="str">
        <f t="shared" si="12"/>
        <v>Printed Matt/Glossy Band Roll 89.5X15 CM</v>
      </c>
      <c r="AB245" s="32" t="s">
        <v>681</v>
      </c>
    </row>
    <row r="246" spans="2:28" x14ac:dyDescent="0.25">
      <c r="B246" s="31" t="s">
        <v>6</v>
      </c>
      <c r="D246" s="32">
        <v>2003</v>
      </c>
      <c r="E246" s="31" t="s">
        <v>6</v>
      </c>
      <c r="F246" s="32" t="s">
        <v>248</v>
      </c>
      <c r="G246" s="32" t="s">
        <v>249</v>
      </c>
      <c r="H246" s="32" t="s">
        <v>97</v>
      </c>
      <c r="I246" s="31" t="s">
        <v>121</v>
      </c>
      <c r="J246" s="32" t="s">
        <v>93</v>
      </c>
      <c r="K246" s="34">
        <v>5</v>
      </c>
      <c r="L246" s="31"/>
      <c r="O246" s="34">
        <v>84.5</v>
      </c>
      <c r="P246" s="34">
        <v>10</v>
      </c>
      <c r="Q246" s="34" t="s">
        <v>94</v>
      </c>
      <c r="R246" s="34"/>
      <c r="S246" s="34" t="s">
        <v>166</v>
      </c>
      <c r="T246" s="34" t="s">
        <v>119</v>
      </c>
      <c r="U246" s="32" t="s">
        <v>110</v>
      </c>
      <c r="V246" s="34">
        <v>400</v>
      </c>
      <c r="W246" s="34" t="s">
        <v>89</v>
      </c>
      <c r="X246" s="32" t="str">
        <f t="shared" si="10"/>
        <v>Printed Band Roll  84.5X10 CM</v>
      </c>
      <c r="Y246" s="31" t="s">
        <v>440</v>
      </c>
      <c r="Z246" s="32" t="str">
        <f t="shared" si="11"/>
        <v>Band Roll  84.5x10 CM Pollar Cutting 400 Swedish Board</v>
      </c>
      <c r="AA246" s="32" t="str">
        <f t="shared" si="12"/>
        <v>Printed  Band Roll 96.5X15 CM</v>
      </c>
      <c r="AB246" s="32" t="s">
        <v>926</v>
      </c>
    </row>
    <row r="247" spans="2:28" x14ac:dyDescent="0.25">
      <c r="B247" s="31" t="s">
        <v>6</v>
      </c>
      <c r="D247" s="32">
        <v>2003</v>
      </c>
      <c r="E247" s="31" t="s">
        <v>6</v>
      </c>
      <c r="F247" s="32" t="s">
        <v>248</v>
      </c>
      <c r="G247" s="32" t="s">
        <v>249</v>
      </c>
      <c r="H247" s="32" t="s">
        <v>97</v>
      </c>
      <c r="I247" s="31" t="s">
        <v>329</v>
      </c>
      <c r="J247" s="32" t="s">
        <v>93</v>
      </c>
      <c r="K247" s="34">
        <v>2</v>
      </c>
      <c r="L247" s="33"/>
      <c r="O247" s="34">
        <v>4</v>
      </c>
      <c r="Q247" s="34" t="s">
        <v>94</v>
      </c>
      <c r="R247" s="34"/>
      <c r="S247" s="34"/>
      <c r="T247" s="32" t="s">
        <v>156</v>
      </c>
      <c r="U247" s="34" t="s">
        <v>128</v>
      </c>
      <c r="V247" s="34">
        <v>80</v>
      </c>
      <c r="W247" s="34" t="s">
        <v>89</v>
      </c>
      <c r="X247" s="32" t="str">
        <f t="shared" si="10"/>
        <v>Printed Size Sticker  4X CM</v>
      </c>
      <c r="Y247" s="31" t="s">
        <v>441</v>
      </c>
      <c r="Z247" s="32" t="str">
        <f t="shared" si="11"/>
        <v>Size Sticker  4x CM Die Cutting  80 Glossy Sticker</v>
      </c>
      <c r="AA247" s="32" t="str">
        <f t="shared" si="12"/>
        <v>Printed  Band Roll  98.5X15 CM</v>
      </c>
      <c r="AB247" s="32" t="s">
        <v>725</v>
      </c>
    </row>
    <row r="248" spans="2:28" x14ac:dyDescent="0.25">
      <c r="B248" s="31" t="s">
        <v>6</v>
      </c>
      <c r="D248" s="32">
        <v>2003</v>
      </c>
      <c r="E248" s="31" t="s">
        <v>6</v>
      </c>
      <c r="F248" s="32" t="s">
        <v>248</v>
      </c>
      <c r="G248" s="32" t="s">
        <v>249</v>
      </c>
      <c r="H248" s="32" t="s">
        <v>97</v>
      </c>
      <c r="I248" s="31" t="s">
        <v>207</v>
      </c>
      <c r="J248" s="32" t="s">
        <v>93</v>
      </c>
      <c r="K248" s="34">
        <v>1</v>
      </c>
      <c r="L248" s="33"/>
      <c r="O248" s="34">
        <v>3</v>
      </c>
      <c r="P248" s="34">
        <v>3</v>
      </c>
      <c r="Q248" s="34" t="s">
        <v>94</v>
      </c>
      <c r="R248" s="34"/>
      <c r="S248" s="34"/>
      <c r="T248" s="34" t="s">
        <v>119</v>
      </c>
      <c r="U248" s="34" t="s">
        <v>128</v>
      </c>
      <c r="V248" s="34">
        <v>80</v>
      </c>
      <c r="W248" s="34" t="s">
        <v>89</v>
      </c>
      <c r="X248" s="32" t="str">
        <f t="shared" si="10"/>
        <v>Printed Size Sticker 3X3 CM</v>
      </c>
      <c r="Y248" s="31" t="s">
        <v>442</v>
      </c>
      <c r="Z248" s="32" t="str">
        <f t="shared" si="11"/>
        <v>Size Sticker 3x3 CM Pollar Cutting 80 Glossy Sticker</v>
      </c>
      <c r="AA248" s="32" t="str">
        <f t="shared" si="12"/>
        <v>Printed  Carton Sticker  12X5.25 CM</v>
      </c>
      <c r="AB248" s="32" t="s">
        <v>927</v>
      </c>
    </row>
    <row r="249" spans="2:28" x14ac:dyDescent="0.25">
      <c r="B249" s="31" t="s">
        <v>6</v>
      </c>
      <c r="D249" s="32">
        <v>2003</v>
      </c>
      <c r="E249" s="31" t="s">
        <v>6</v>
      </c>
      <c r="F249" s="32" t="s">
        <v>248</v>
      </c>
      <c r="G249" s="32" t="s">
        <v>249</v>
      </c>
      <c r="H249" s="32" t="s">
        <v>97</v>
      </c>
      <c r="I249" s="31" t="s">
        <v>181</v>
      </c>
      <c r="J249" s="32" t="s">
        <v>93</v>
      </c>
      <c r="K249" s="34">
        <v>1</v>
      </c>
      <c r="L249" s="33"/>
      <c r="O249" s="34">
        <v>5.5</v>
      </c>
      <c r="P249" s="34">
        <v>5</v>
      </c>
      <c r="Q249" s="34" t="s">
        <v>94</v>
      </c>
      <c r="R249" s="34"/>
      <c r="S249" s="34"/>
      <c r="T249" s="34" t="s">
        <v>119</v>
      </c>
      <c r="U249" s="34" t="s">
        <v>128</v>
      </c>
      <c r="V249" s="34">
        <v>80</v>
      </c>
      <c r="W249" s="34" t="s">
        <v>89</v>
      </c>
      <c r="X249" s="32" t="str">
        <f t="shared" ref="X249:X307" si="13">CONCATENATE(J249," ",I249," ",O249,"X",P249," ",Q249)</f>
        <v>Printed Set Barcode 5.5X5 CM</v>
      </c>
      <c r="Y249" s="31" t="s">
        <v>443</v>
      </c>
      <c r="Z249" s="32" t="str">
        <f t="shared" si="11"/>
        <v>Set Barcode 5.5x5 CM Pollar Cutting 80 Glossy Sticker</v>
      </c>
      <c r="AA249" s="32" t="str">
        <f t="shared" si="12"/>
        <v>Printed  Sticker Potty 7.5X6.5 CM</v>
      </c>
      <c r="AB249" s="32" t="s">
        <v>928</v>
      </c>
    </row>
    <row r="250" spans="2:28" x14ac:dyDescent="0.25">
      <c r="B250" s="31" t="s">
        <v>6</v>
      </c>
      <c r="D250" s="32">
        <v>2003</v>
      </c>
      <c r="E250" s="31" t="s">
        <v>6</v>
      </c>
      <c r="F250" s="32" t="s">
        <v>248</v>
      </c>
      <c r="G250" s="32" t="s">
        <v>249</v>
      </c>
      <c r="H250" s="32" t="s">
        <v>97</v>
      </c>
      <c r="I250" s="31" t="s">
        <v>137</v>
      </c>
      <c r="J250" s="32" t="s">
        <v>93</v>
      </c>
      <c r="K250" s="34">
        <v>1</v>
      </c>
      <c r="L250" s="33"/>
      <c r="O250" s="34">
        <v>21</v>
      </c>
      <c r="P250" s="34">
        <v>9.5</v>
      </c>
      <c r="Q250" s="34" t="s">
        <v>94</v>
      </c>
      <c r="R250" s="34"/>
      <c r="S250" s="34"/>
      <c r="T250" s="34" t="s">
        <v>119</v>
      </c>
      <c r="U250" s="34" t="s">
        <v>128</v>
      </c>
      <c r="V250" s="34">
        <v>80</v>
      </c>
      <c r="W250" s="34" t="s">
        <v>89</v>
      </c>
      <c r="X250" s="32" t="str">
        <f t="shared" si="13"/>
        <v>Printed Carton Sticker  21X9.5 CM</v>
      </c>
      <c r="Y250" s="31" t="s">
        <v>444</v>
      </c>
      <c r="Z250" s="32" t="str">
        <f t="shared" si="11"/>
        <v>Carton Sticker  21x9.5 CM Pollar Cutting 80 Glossy Sticker</v>
      </c>
      <c r="AA250" s="32" t="str">
        <f t="shared" si="12"/>
        <v>Printed  Sticker  1.25X2 Inch</v>
      </c>
      <c r="AB250" s="32" t="s">
        <v>929</v>
      </c>
    </row>
    <row r="251" spans="2:28" x14ac:dyDescent="0.25">
      <c r="B251" s="31" t="s">
        <v>6</v>
      </c>
      <c r="D251" s="32">
        <v>2003</v>
      </c>
      <c r="E251" s="31" t="s">
        <v>6</v>
      </c>
      <c r="F251" s="32" t="s">
        <v>248</v>
      </c>
      <c r="G251" s="32" t="s">
        <v>249</v>
      </c>
      <c r="H251" s="32" t="s">
        <v>97</v>
      </c>
      <c r="I251" s="31" t="s">
        <v>53</v>
      </c>
      <c r="J251" s="32" t="s">
        <v>93</v>
      </c>
      <c r="K251" s="34">
        <v>6</v>
      </c>
      <c r="L251" s="33"/>
      <c r="O251" s="34">
        <v>85.9</v>
      </c>
      <c r="P251" s="34">
        <v>15</v>
      </c>
      <c r="Q251" s="34" t="s">
        <v>94</v>
      </c>
      <c r="R251" s="34" t="s">
        <v>166</v>
      </c>
      <c r="S251" s="34"/>
      <c r="T251" s="32" t="s">
        <v>156</v>
      </c>
      <c r="U251" s="32" t="s">
        <v>110</v>
      </c>
      <c r="V251" s="34">
        <v>300</v>
      </c>
      <c r="W251" s="34" t="s">
        <v>89</v>
      </c>
      <c r="X251" s="32" t="str">
        <f t="shared" si="13"/>
        <v>Printed Band Roll 85.9X15 CM</v>
      </c>
      <c r="Y251" s="31" t="s">
        <v>445</v>
      </c>
      <c r="Z251" s="32" t="str">
        <f t="shared" si="11"/>
        <v>Band Roll 85.9x15 CM Die Cutting  300 Swedish Board</v>
      </c>
      <c r="AA251" s="32" t="str">
        <f t="shared" si="12"/>
        <v>Printed Matt Sticker 2.5X2 Inch</v>
      </c>
      <c r="AB251" s="32" t="s">
        <v>682</v>
      </c>
    </row>
    <row r="252" spans="2:28" x14ac:dyDescent="0.25">
      <c r="B252" s="31" t="s">
        <v>6</v>
      </c>
      <c r="D252" s="32">
        <v>2003</v>
      </c>
      <c r="E252" s="31" t="s">
        <v>6</v>
      </c>
      <c r="F252" s="32" t="s">
        <v>248</v>
      </c>
      <c r="G252" s="32" t="s">
        <v>249</v>
      </c>
      <c r="H252" s="32" t="s">
        <v>97</v>
      </c>
      <c r="I252" s="31" t="s">
        <v>53</v>
      </c>
      <c r="J252" s="32" t="s">
        <v>93</v>
      </c>
      <c r="K252" s="34">
        <v>6</v>
      </c>
      <c r="L252" s="33"/>
      <c r="O252" s="34">
        <v>87.9</v>
      </c>
      <c r="P252" s="34">
        <v>15</v>
      </c>
      <c r="Q252" s="34" t="s">
        <v>94</v>
      </c>
      <c r="R252" s="34" t="s">
        <v>166</v>
      </c>
      <c r="S252" s="34"/>
      <c r="T252" s="32" t="s">
        <v>156</v>
      </c>
      <c r="U252" s="32" t="s">
        <v>110</v>
      </c>
      <c r="V252" s="34">
        <v>300</v>
      </c>
      <c r="W252" s="34" t="s">
        <v>89</v>
      </c>
      <c r="X252" s="32" t="str">
        <f t="shared" si="13"/>
        <v>Printed Band Roll 87.9X15 CM</v>
      </c>
      <c r="Y252" s="31" t="s">
        <v>446</v>
      </c>
      <c r="Z252" s="32" t="str">
        <f t="shared" si="11"/>
        <v>Band Roll 87.9x15 CM Die Cutting  300 Swedish Board</v>
      </c>
      <c r="AA252" s="32" t="str">
        <f t="shared" si="12"/>
        <v>Non Printed Matt Transparent Stcker 40X MM</v>
      </c>
      <c r="AB252" s="32" t="s">
        <v>683</v>
      </c>
    </row>
    <row r="253" spans="2:28" x14ac:dyDescent="0.25">
      <c r="B253" s="31" t="s">
        <v>6</v>
      </c>
      <c r="D253" s="32">
        <v>2003</v>
      </c>
      <c r="E253" s="31" t="s">
        <v>6</v>
      </c>
      <c r="F253" s="32" t="s">
        <v>248</v>
      </c>
      <c r="G253" s="32" t="s">
        <v>249</v>
      </c>
      <c r="H253" s="32" t="s">
        <v>97</v>
      </c>
      <c r="I253" s="31" t="s">
        <v>53</v>
      </c>
      <c r="J253" s="32" t="s">
        <v>93</v>
      </c>
      <c r="K253" s="34">
        <v>6</v>
      </c>
      <c r="L253" s="33"/>
      <c r="O253" s="34">
        <v>89.5</v>
      </c>
      <c r="P253" s="34">
        <v>15</v>
      </c>
      <c r="Q253" s="34" t="s">
        <v>94</v>
      </c>
      <c r="R253" s="34" t="s">
        <v>166</v>
      </c>
      <c r="S253" s="34"/>
      <c r="T253" s="32" t="s">
        <v>156</v>
      </c>
      <c r="U253" s="32" t="s">
        <v>110</v>
      </c>
      <c r="V253" s="34">
        <v>300</v>
      </c>
      <c r="W253" s="34" t="s">
        <v>89</v>
      </c>
      <c r="X253" s="32" t="str">
        <f t="shared" si="13"/>
        <v>Printed Band Roll 89.5X15 CM</v>
      </c>
      <c r="Y253" s="31" t="s">
        <v>447</v>
      </c>
      <c r="Z253" s="32" t="str">
        <f t="shared" si="11"/>
        <v>Band Roll 89.5x15 CM Die Cutting  300 Swedish Board</v>
      </c>
      <c r="AA253" s="32" t="str">
        <f t="shared" si="12"/>
        <v>Printed Matt Barcode Sticker 4.6X2.5 CM</v>
      </c>
      <c r="AB253" s="32" t="s">
        <v>684</v>
      </c>
    </row>
    <row r="254" spans="2:28" x14ac:dyDescent="0.25">
      <c r="B254" s="31" t="s">
        <v>6</v>
      </c>
      <c r="D254" s="32">
        <v>2003</v>
      </c>
      <c r="E254" s="31" t="s">
        <v>6</v>
      </c>
      <c r="F254" s="32" t="s">
        <v>248</v>
      </c>
      <c r="G254" s="32" t="s">
        <v>249</v>
      </c>
      <c r="H254" s="32" t="s">
        <v>97</v>
      </c>
      <c r="I254" s="31" t="s">
        <v>53</v>
      </c>
      <c r="J254" s="32" t="s">
        <v>93</v>
      </c>
      <c r="K254" s="34">
        <v>6</v>
      </c>
      <c r="L254" s="33"/>
      <c r="O254" s="34">
        <v>96.5</v>
      </c>
      <c r="P254" s="34">
        <v>15</v>
      </c>
      <c r="Q254" s="34" t="s">
        <v>94</v>
      </c>
      <c r="R254" s="34" t="s">
        <v>166</v>
      </c>
      <c r="S254" s="34"/>
      <c r="T254" s="32" t="s">
        <v>156</v>
      </c>
      <c r="U254" s="32" t="s">
        <v>110</v>
      </c>
      <c r="V254" s="34">
        <v>300</v>
      </c>
      <c r="W254" s="34" t="s">
        <v>89</v>
      </c>
      <c r="X254" s="32" t="str">
        <f t="shared" si="13"/>
        <v>Printed Band Roll 96.5X15 CM</v>
      </c>
      <c r="Y254" s="31" t="s">
        <v>448</v>
      </c>
      <c r="Z254" s="32" t="str">
        <f t="shared" si="11"/>
        <v>Band Roll 96.5x15 CM Die Cutting  300 Swedish Board</v>
      </c>
      <c r="AA254" s="32" t="str">
        <f t="shared" si="12"/>
        <v>Printed Matt Transparent Stcker 3X2 Inch</v>
      </c>
      <c r="AB254" s="32" t="s">
        <v>685</v>
      </c>
    </row>
    <row r="255" spans="2:28" x14ac:dyDescent="0.25">
      <c r="B255" s="31" t="s">
        <v>6</v>
      </c>
      <c r="D255" s="32">
        <v>2003</v>
      </c>
      <c r="E255" s="31" t="s">
        <v>6</v>
      </c>
      <c r="F255" s="32" t="s">
        <v>248</v>
      </c>
      <c r="G255" s="32" t="s">
        <v>249</v>
      </c>
      <c r="H255" s="32" t="s">
        <v>97</v>
      </c>
      <c r="I255" s="31" t="s">
        <v>121</v>
      </c>
      <c r="J255" s="32" t="s">
        <v>93</v>
      </c>
      <c r="K255" s="34">
        <v>6</v>
      </c>
      <c r="L255" s="33"/>
      <c r="O255" s="34">
        <v>98.5</v>
      </c>
      <c r="P255" s="34">
        <v>15</v>
      </c>
      <c r="Q255" s="34" t="s">
        <v>94</v>
      </c>
      <c r="R255" s="34" t="s">
        <v>166</v>
      </c>
      <c r="S255" s="34"/>
      <c r="T255" s="32" t="s">
        <v>156</v>
      </c>
      <c r="U255" s="32" t="s">
        <v>110</v>
      </c>
      <c r="V255" s="34">
        <v>300</v>
      </c>
      <c r="W255" s="34" t="s">
        <v>89</v>
      </c>
      <c r="X255" s="32" t="str">
        <f t="shared" si="13"/>
        <v>Printed Band Roll  98.5X15 CM</v>
      </c>
      <c r="Y255" s="31" t="s">
        <v>449</v>
      </c>
      <c r="Z255" s="32" t="str">
        <f t="shared" si="11"/>
        <v>Band Roll  98.5x15 CM Die Cutting  300 Swedish Board</v>
      </c>
      <c r="AA255" s="32" t="str">
        <f t="shared" si="12"/>
        <v>Printed Matt Hang Tag 14.4X4.4 CM</v>
      </c>
      <c r="AB255" s="32" t="s">
        <v>686</v>
      </c>
    </row>
    <row r="256" spans="2:28" x14ac:dyDescent="0.25">
      <c r="B256" s="31" t="s">
        <v>6</v>
      </c>
      <c r="D256" s="32">
        <v>2003</v>
      </c>
      <c r="E256" s="31" t="s">
        <v>6</v>
      </c>
      <c r="F256" s="32" t="s">
        <v>248</v>
      </c>
      <c r="G256" s="32" t="s">
        <v>249</v>
      </c>
      <c r="H256" s="32" t="s">
        <v>97</v>
      </c>
      <c r="I256" s="31" t="s">
        <v>137</v>
      </c>
      <c r="J256" s="32" t="s">
        <v>93</v>
      </c>
      <c r="K256" s="34">
        <v>3</v>
      </c>
      <c r="L256" s="33"/>
      <c r="O256" s="34">
        <v>12</v>
      </c>
      <c r="P256" s="34">
        <v>5.25</v>
      </c>
      <c r="Q256" s="34" t="s">
        <v>94</v>
      </c>
      <c r="R256" s="34"/>
      <c r="S256" s="34"/>
      <c r="T256" s="34" t="s">
        <v>119</v>
      </c>
      <c r="U256" s="34" t="s">
        <v>128</v>
      </c>
      <c r="V256" s="34">
        <v>80</v>
      </c>
      <c r="W256" s="34" t="s">
        <v>89</v>
      </c>
      <c r="X256" s="32" t="str">
        <f t="shared" si="13"/>
        <v>Printed Carton Sticker  12X5.25 CM</v>
      </c>
      <c r="Y256" s="31" t="s">
        <v>450</v>
      </c>
      <c r="Z256" s="32" t="str">
        <f t="shared" si="11"/>
        <v>Carton Sticker  12x5.25 CM Pollar Cutting 80 Glossy Sticker</v>
      </c>
      <c r="AA256" s="32" t="str">
        <f t="shared" si="12"/>
        <v>Printed  Carton Sticker  11X2.5 CM</v>
      </c>
      <c r="AB256" s="32" t="s">
        <v>930</v>
      </c>
    </row>
    <row r="257" spans="2:28" x14ac:dyDescent="0.25">
      <c r="B257" s="31" t="s">
        <v>6</v>
      </c>
      <c r="D257" s="32">
        <v>2003</v>
      </c>
      <c r="E257" s="31" t="s">
        <v>6</v>
      </c>
      <c r="F257" s="32" t="s">
        <v>248</v>
      </c>
      <c r="G257" s="32" t="s">
        <v>249</v>
      </c>
      <c r="H257" s="32" t="s">
        <v>97</v>
      </c>
      <c r="I257" s="41" t="s">
        <v>662</v>
      </c>
      <c r="J257" s="32" t="s">
        <v>93</v>
      </c>
      <c r="K257" s="34">
        <v>2</v>
      </c>
      <c r="L257" s="33"/>
      <c r="O257" s="34">
        <v>7.5</v>
      </c>
      <c r="P257" s="34">
        <v>6.5</v>
      </c>
      <c r="Q257" s="34" t="s">
        <v>94</v>
      </c>
      <c r="R257" s="34"/>
      <c r="S257" s="34"/>
      <c r="T257" s="34" t="s">
        <v>119</v>
      </c>
      <c r="U257" s="34" t="s">
        <v>148</v>
      </c>
      <c r="V257" s="34">
        <v>80</v>
      </c>
      <c r="W257" s="34" t="s">
        <v>89</v>
      </c>
      <c r="X257" s="32" t="str">
        <f t="shared" si="13"/>
        <v>Printed Sticker Potty 7.5X6.5 CM</v>
      </c>
      <c r="Y257" s="31" t="s">
        <v>451</v>
      </c>
      <c r="Z257" s="32" t="str">
        <f t="shared" si="11"/>
        <v>Sticker Potty 7.5x6.5 CM Pollar Cutting 80 Offset Sticker</v>
      </c>
      <c r="AA257" s="32" t="str">
        <f t="shared" si="12"/>
        <v>Printed  Photo Sticker 4X3.7 CM</v>
      </c>
      <c r="AB257" s="32" t="s">
        <v>931</v>
      </c>
    </row>
    <row r="258" spans="2:28" x14ac:dyDescent="0.25">
      <c r="B258" s="31" t="s">
        <v>6</v>
      </c>
      <c r="D258" s="32">
        <v>2003</v>
      </c>
      <c r="E258" s="31" t="s">
        <v>6</v>
      </c>
      <c r="F258" s="32" t="s">
        <v>248</v>
      </c>
      <c r="G258" s="32" t="s">
        <v>249</v>
      </c>
      <c r="H258" s="32" t="s">
        <v>97</v>
      </c>
      <c r="I258" s="31" t="s">
        <v>648</v>
      </c>
      <c r="J258" s="32" t="s">
        <v>93</v>
      </c>
      <c r="K258" s="34">
        <v>2</v>
      </c>
      <c r="L258" s="33"/>
      <c r="O258" s="34">
        <v>1.25</v>
      </c>
      <c r="P258" s="34">
        <v>2</v>
      </c>
      <c r="Q258" s="34" t="s">
        <v>95</v>
      </c>
      <c r="R258" s="34"/>
      <c r="S258" s="34"/>
      <c r="T258" s="34" t="s">
        <v>119</v>
      </c>
      <c r="U258" s="34" t="s">
        <v>128</v>
      </c>
      <c r="V258" s="34">
        <v>80</v>
      </c>
      <c r="W258" s="34" t="s">
        <v>89</v>
      </c>
      <c r="X258" s="32" t="str">
        <f t="shared" si="13"/>
        <v>Printed Sticker  1.25X2 Inch</v>
      </c>
      <c r="Y258" s="31" t="s">
        <v>452</v>
      </c>
      <c r="Z258" s="32" t="str">
        <f t="shared" si="11"/>
        <v>Sticker  1.25x2 Inch Pollar Cutting 80 Glossy Sticker</v>
      </c>
      <c r="AA258" s="32" t="str">
        <f t="shared" si="12"/>
        <v>Printed  Sticker 5X3.5 CM</v>
      </c>
      <c r="AB258" s="32" t="s">
        <v>932</v>
      </c>
    </row>
    <row r="259" spans="2:28" x14ac:dyDescent="0.25">
      <c r="B259" s="31" t="s">
        <v>6</v>
      </c>
      <c r="D259" s="32">
        <v>2003</v>
      </c>
      <c r="E259" s="31" t="s">
        <v>6</v>
      </c>
      <c r="F259" s="32" t="s">
        <v>248</v>
      </c>
      <c r="G259" s="32" t="s">
        <v>249</v>
      </c>
      <c r="H259" s="32" t="s">
        <v>97</v>
      </c>
      <c r="I259" s="31" t="s">
        <v>102</v>
      </c>
      <c r="J259" s="32" t="s">
        <v>93</v>
      </c>
      <c r="K259" s="34">
        <v>1</v>
      </c>
      <c r="L259" s="33"/>
      <c r="O259" s="34">
        <v>2.5</v>
      </c>
      <c r="P259" s="34">
        <v>2</v>
      </c>
      <c r="Q259" s="34" t="s">
        <v>95</v>
      </c>
      <c r="R259" s="34"/>
      <c r="S259" s="34"/>
      <c r="T259" s="34" t="s">
        <v>119</v>
      </c>
      <c r="U259" s="34" t="s">
        <v>128</v>
      </c>
      <c r="V259" s="34">
        <v>80</v>
      </c>
      <c r="W259" s="34" t="s">
        <v>89</v>
      </c>
      <c r="X259" s="32" t="str">
        <f t="shared" si="13"/>
        <v>Printed Sticker 2.5X2 Inch</v>
      </c>
      <c r="Y259" s="31" t="s">
        <v>453</v>
      </c>
      <c r="Z259" s="32" t="str">
        <f t="shared" ref="Z259:Z322" si="14">CONCATENATE(I259," ",O259,"x",P259," ",Q259," ",T259," ",V259," ",U259)</f>
        <v>Sticker 2.5x2 Inch Pollar Cutting 80 Glossy Sticker</v>
      </c>
      <c r="AA259" s="32" t="str">
        <f t="shared" ref="AA259:AA322" si="15">CONCATENATE(J267," ",R259," ",I267," ",O267,"X",P267," ",Q267)</f>
        <v>Printed  Size Sticker 2X2 CM</v>
      </c>
      <c r="AB259" s="32" t="s">
        <v>933</v>
      </c>
    </row>
    <row r="260" spans="2:28" x14ac:dyDescent="0.25">
      <c r="B260" s="31" t="s">
        <v>6</v>
      </c>
      <c r="D260" s="32">
        <v>2003</v>
      </c>
      <c r="E260" s="31" t="s">
        <v>6</v>
      </c>
      <c r="F260" s="32" t="s">
        <v>248</v>
      </c>
      <c r="G260" s="32" t="s">
        <v>249</v>
      </c>
      <c r="H260" s="32" t="s">
        <v>97</v>
      </c>
      <c r="I260" s="35" t="s">
        <v>241</v>
      </c>
      <c r="J260" s="32" t="s">
        <v>238</v>
      </c>
      <c r="L260" s="33"/>
      <c r="O260" s="34">
        <v>40</v>
      </c>
      <c r="Q260" s="34" t="s">
        <v>96</v>
      </c>
      <c r="R260" s="34"/>
      <c r="S260" s="34"/>
      <c r="T260" s="32" t="s">
        <v>156</v>
      </c>
      <c r="U260" s="34" t="s">
        <v>330</v>
      </c>
      <c r="V260" s="34">
        <v>80</v>
      </c>
      <c r="W260" s="34" t="s">
        <v>89</v>
      </c>
      <c r="X260" s="32" t="str">
        <f t="shared" si="13"/>
        <v>Non Printed Transparent Stcker 40X MM</v>
      </c>
      <c r="Y260" s="31" t="s">
        <v>454</v>
      </c>
      <c r="Z260" s="32" t="str">
        <f t="shared" si="14"/>
        <v>Transparent Stcker 40x MM Die Cutting  80 TRANSPARENCY Sticker</v>
      </c>
      <c r="AA260" s="32" t="str">
        <f t="shared" si="15"/>
        <v>Printed  Insert (Front+Back) 8.75X8.5 Inch</v>
      </c>
      <c r="AB260" s="32" t="s">
        <v>934</v>
      </c>
    </row>
    <row r="261" spans="2:28" x14ac:dyDescent="0.25">
      <c r="B261" s="31" t="s">
        <v>6</v>
      </c>
      <c r="D261" s="32">
        <v>2003</v>
      </c>
      <c r="E261" s="31" t="s">
        <v>6</v>
      </c>
      <c r="F261" s="32" t="s">
        <v>248</v>
      </c>
      <c r="G261" s="32" t="s">
        <v>249</v>
      </c>
      <c r="H261" s="32" t="s">
        <v>97</v>
      </c>
      <c r="I261" s="31" t="s">
        <v>147</v>
      </c>
      <c r="J261" s="32" t="s">
        <v>93</v>
      </c>
      <c r="K261" s="34">
        <v>1</v>
      </c>
      <c r="L261" s="33"/>
      <c r="O261" s="34">
        <v>4.5999999999999996</v>
      </c>
      <c r="P261" s="34">
        <v>2.5</v>
      </c>
      <c r="Q261" s="34" t="s">
        <v>94</v>
      </c>
      <c r="R261" s="34"/>
      <c r="S261" s="34"/>
      <c r="T261" s="34" t="s">
        <v>119</v>
      </c>
      <c r="U261" s="34" t="s">
        <v>128</v>
      </c>
      <c r="V261" s="34">
        <v>80</v>
      </c>
      <c r="W261" s="34" t="s">
        <v>89</v>
      </c>
      <c r="X261" s="32" t="str">
        <f t="shared" si="13"/>
        <v>Printed Barcode Sticker 4.6X2.5 CM</v>
      </c>
      <c r="Y261" s="31" t="s">
        <v>455</v>
      </c>
      <c r="Z261" s="32" t="str">
        <f t="shared" si="14"/>
        <v>Barcode Sticker 4.6x2.5 CM Pollar Cutting 80 Glossy Sticker</v>
      </c>
      <c r="AA261" s="32" t="str">
        <f t="shared" si="15"/>
        <v>Printed  Insert (Front+Back) 9X8 Inch</v>
      </c>
      <c r="AB261" s="32" t="s">
        <v>935</v>
      </c>
    </row>
    <row r="262" spans="2:28" x14ac:dyDescent="0.25">
      <c r="B262" s="31" t="s">
        <v>6</v>
      </c>
      <c r="D262" s="32">
        <v>2003</v>
      </c>
      <c r="E262" s="31" t="s">
        <v>6</v>
      </c>
      <c r="F262" s="32" t="s">
        <v>248</v>
      </c>
      <c r="G262" s="32" t="s">
        <v>249</v>
      </c>
      <c r="H262" s="32" t="s">
        <v>97</v>
      </c>
      <c r="I262" s="35" t="s">
        <v>241</v>
      </c>
      <c r="J262" s="32" t="s">
        <v>93</v>
      </c>
      <c r="K262" s="34">
        <v>1</v>
      </c>
      <c r="L262" s="33"/>
      <c r="O262" s="34">
        <v>3</v>
      </c>
      <c r="P262" s="34">
        <v>2</v>
      </c>
      <c r="Q262" s="34" t="s">
        <v>95</v>
      </c>
      <c r="R262" s="34"/>
      <c r="S262" s="34"/>
      <c r="T262" s="34" t="s">
        <v>119</v>
      </c>
      <c r="U262" s="34" t="s">
        <v>330</v>
      </c>
      <c r="V262" s="34">
        <v>80</v>
      </c>
      <c r="W262" s="34" t="s">
        <v>89</v>
      </c>
      <c r="X262" s="32" t="str">
        <f t="shared" si="13"/>
        <v>Printed Transparent Stcker 3X2 Inch</v>
      </c>
      <c r="Y262" s="31" t="s">
        <v>456</v>
      </c>
      <c r="Z262" s="32" t="str">
        <f t="shared" si="14"/>
        <v>Transparent Stcker 3x2 Inch Pollar Cutting 80 TRANSPARENCY Sticker</v>
      </c>
      <c r="AA262" s="32" t="str">
        <f t="shared" si="15"/>
        <v>Printed  Insert (Front+Back) 9X9 Inch</v>
      </c>
      <c r="AB262" s="32" t="s">
        <v>708</v>
      </c>
    </row>
    <row r="263" spans="2:28" x14ac:dyDescent="0.25">
      <c r="B263" s="31" t="s">
        <v>6</v>
      </c>
      <c r="D263" s="32">
        <v>2003</v>
      </c>
      <c r="E263" s="31" t="s">
        <v>6</v>
      </c>
      <c r="F263" s="32" t="s">
        <v>248</v>
      </c>
      <c r="G263" s="32" t="s">
        <v>249</v>
      </c>
      <c r="H263" s="32" t="s">
        <v>97</v>
      </c>
      <c r="I263" s="31" t="s">
        <v>155</v>
      </c>
      <c r="J263" s="32" t="s">
        <v>93</v>
      </c>
      <c r="K263" s="34">
        <v>4</v>
      </c>
      <c r="L263" s="33"/>
      <c r="O263" s="34">
        <v>14.4</v>
      </c>
      <c r="P263" s="34">
        <v>4.4000000000000004</v>
      </c>
      <c r="Q263" s="34" t="s">
        <v>94</v>
      </c>
      <c r="R263" s="34"/>
      <c r="S263" s="34" t="s">
        <v>122</v>
      </c>
      <c r="T263" s="32" t="s">
        <v>156</v>
      </c>
      <c r="U263" s="34" t="s">
        <v>237</v>
      </c>
      <c r="V263" s="34">
        <v>350</v>
      </c>
      <c r="W263" s="34" t="s">
        <v>89</v>
      </c>
      <c r="X263" s="32" t="str">
        <f t="shared" si="13"/>
        <v>Printed Hang Tag 14.4X4.4 CM</v>
      </c>
      <c r="Y263" s="31" t="s">
        <v>457</v>
      </c>
      <c r="Z263" s="32" t="str">
        <f t="shared" si="14"/>
        <v>Hang Tag 14.4x4.4 CM Die Cutting  350 Art Card</v>
      </c>
      <c r="AA263" s="32" t="str">
        <f t="shared" si="15"/>
        <v>Printed  Insert (Front+Back) 8.25X9 Inch</v>
      </c>
      <c r="AB263" s="32" t="s">
        <v>936</v>
      </c>
    </row>
    <row r="264" spans="2:28" x14ac:dyDescent="0.25">
      <c r="B264" s="31" t="s">
        <v>6</v>
      </c>
      <c r="D264" s="32">
        <v>2003</v>
      </c>
      <c r="E264" s="31" t="s">
        <v>6</v>
      </c>
      <c r="F264" s="32" t="s">
        <v>248</v>
      </c>
      <c r="G264" s="32" t="s">
        <v>249</v>
      </c>
      <c r="H264" s="32" t="s">
        <v>97</v>
      </c>
      <c r="I264" s="31" t="s">
        <v>137</v>
      </c>
      <c r="J264" s="32" t="s">
        <v>93</v>
      </c>
      <c r="K264" s="34">
        <v>2</v>
      </c>
      <c r="L264" s="33"/>
      <c r="O264" s="34">
        <v>11</v>
      </c>
      <c r="P264" s="34">
        <v>2.5</v>
      </c>
      <c r="Q264" s="34" t="s">
        <v>94</v>
      </c>
      <c r="R264" s="34"/>
      <c r="S264" s="34"/>
      <c r="T264" s="34" t="s">
        <v>119</v>
      </c>
      <c r="U264" s="34" t="s">
        <v>128</v>
      </c>
      <c r="V264" s="34">
        <v>80</v>
      </c>
      <c r="W264" s="34" t="s">
        <v>89</v>
      </c>
      <c r="X264" s="32" t="str">
        <f t="shared" si="13"/>
        <v>Printed Carton Sticker  11X2.5 CM</v>
      </c>
      <c r="Y264" s="31" t="s">
        <v>458</v>
      </c>
      <c r="Z264" s="32" t="str">
        <f t="shared" si="14"/>
        <v>Carton Sticker  11x2.5 CM Pollar Cutting 80 Glossy Sticker</v>
      </c>
      <c r="AA264" s="32" t="str">
        <f t="shared" si="15"/>
        <v>Printed  Insert (Front+Back) 8.75X9 Inch</v>
      </c>
      <c r="AB264" s="32" t="s">
        <v>937</v>
      </c>
    </row>
    <row r="265" spans="2:28" x14ac:dyDescent="0.25">
      <c r="B265" s="31" t="s">
        <v>6</v>
      </c>
      <c r="D265" s="32">
        <v>2003</v>
      </c>
      <c r="E265" s="31" t="s">
        <v>6</v>
      </c>
      <c r="F265" s="32" t="s">
        <v>248</v>
      </c>
      <c r="G265" s="32" t="s">
        <v>249</v>
      </c>
      <c r="H265" s="32" t="s">
        <v>97</v>
      </c>
      <c r="I265" s="38" t="s">
        <v>40</v>
      </c>
      <c r="J265" s="32" t="s">
        <v>93</v>
      </c>
      <c r="K265" s="34">
        <v>2</v>
      </c>
      <c r="L265" s="31"/>
      <c r="O265" s="34">
        <v>4</v>
      </c>
      <c r="P265" s="34">
        <v>3.7</v>
      </c>
      <c r="Q265" s="34" t="s">
        <v>94</v>
      </c>
      <c r="R265" s="34"/>
      <c r="S265" s="34"/>
      <c r="T265" s="34" t="s">
        <v>119</v>
      </c>
      <c r="U265" s="34" t="s">
        <v>128</v>
      </c>
      <c r="V265" s="34">
        <v>80</v>
      </c>
      <c r="W265" s="34" t="s">
        <v>89</v>
      </c>
      <c r="X265" s="32" t="str">
        <f t="shared" si="13"/>
        <v>Printed Photo Sticker 4X3.7 CM</v>
      </c>
      <c r="Y265" s="31" t="s">
        <v>459</v>
      </c>
      <c r="Z265" s="32" t="str">
        <f t="shared" si="14"/>
        <v>Photo Sticker 4x3.7 CM Pollar Cutting 80 Glossy Sticker</v>
      </c>
      <c r="AA265" s="32" t="str">
        <f t="shared" si="15"/>
        <v>Printed  Insert (Front+Back) 11X10.75 Inch</v>
      </c>
      <c r="AB265" s="32" t="s">
        <v>938</v>
      </c>
    </row>
    <row r="266" spans="2:28" x14ac:dyDescent="0.25">
      <c r="B266" s="31" t="s">
        <v>6</v>
      </c>
      <c r="D266" s="32">
        <v>2003</v>
      </c>
      <c r="E266" s="31" t="s">
        <v>6</v>
      </c>
      <c r="F266" s="32" t="s">
        <v>248</v>
      </c>
      <c r="G266" s="32" t="s">
        <v>249</v>
      </c>
      <c r="H266" s="32" t="s">
        <v>97</v>
      </c>
      <c r="I266" s="31" t="s">
        <v>102</v>
      </c>
      <c r="J266" s="32" t="s">
        <v>93</v>
      </c>
      <c r="K266" s="34">
        <v>1</v>
      </c>
      <c r="L266" s="33"/>
      <c r="O266" s="34">
        <v>5</v>
      </c>
      <c r="P266" s="34">
        <v>3.5</v>
      </c>
      <c r="Q266" s="34" t="s">
        <v>94</v>
      </c>
      <c r="R266" s="34"/>
      <c r="S266" s="34"/>
      <c r="T266" s="34" t="s">
        <v>119</v>
      </c>
      <c r="U266" s="34" t="s">
        <v>128</v>
      </c>
      <c r="V266" s="34">
        <v>80</v>
      </c>
      <c r="W266" s="34" t="s">
        <v>89</v>
      </c>
      <c r="X266" s="32" t="str">
        <f t="shared" si="13"/>
        <v>Printed Sticker 5X3.5 CM</v>
      </c>
      <c r="Y266" s="31" t="s">
        <v>460</v>
      </c>
      <c r="Z266" s="32" t="str">
        <f t="shared" si="14"/>
        <v>Sticker 5x3.5 CM Pollar Cutting 80 Glossy Sticker</v>
      </c>
      <c r="AA266" s="32" t="str">
        <f t="shared" si="15"/>
        <v>Printed  Insert (Front+Back) 9X8.5 Inch</v>
      </c>
      <c r="AB266" s="32" t="s">
        <v>939</v>
      </c>
    </row>
    <row r="267" spans="2:28" x14ac:dyDescent="0.25">
      <c r="B267" s="31" t="s">
        <v>6</v>
      </c>
      <c r="D267" s="32">
        <v>2003</v>
      </c>
      <c r="E267" s="31" t="s">
        <v>6</v>
      </c>
      <c r="F267" s="32" t="s">
        <v>248</v>
      </c>
      <c r="G267" s="32" t="s">
        <v>249</v>
      </c>
      <c r="H267" s="32" t="s">
        <v>97</v>
      </c>
      <c r="I267" s="31" t="s">
        <v>207</v>
      </c>
      <c r="J267" s="32" t="s">
        <v>93</v>
      </c>
      <c r="K267" s="34">
        <v>1</v>
      </c>
      <c r="L267" s="33"/>
      <c r="O267" s="34">
        <v>2</v>
      </c>
      <c r="P267" s="34">
        <v>2</v>
      </c>
      <c r="Q267" s="34" t="s">
        <v>94</v>
      </c>
      <c r="R267" s="34"/>
      <c r="S267" s="34"/>
      <c r="T267" s="32" t="s">
        <v>156</v>
      </c>
      <c r="U267" s="34" t="s">
        <v>128</v>
      </c>
      <c r="V267" s="34">
        <v>80</v>
      </c>
      <c r="W267" s="34" t="s">
        <v>89</v>
      </c>
      <c r="X267" s="32" t="str">
        <f t="shared" si="13"/>
        <v>Printed Size Sticker 2X2 CM</v>
      </c>
      <c r="Y267" s="31" t="s">
        <v>461</v>
      </c>
      <c r="Z267" s="32" t="str">
        <f t="shared" si="14"/>
        <v>Size Sticker 2x2 CM Die Cutting  80 Glossy Sticker</v>
      </c>
      <c r="AA267" s="32" t="str">
        <f t="shared" si="15"/>
        <v>Printed  Insert (Front+Back) 8.5X9 Inch</v>
      </c>
      <c r="AB267" s="32" t="s">
        <v>940</v>
      </c>
    </row>
    <row r="268" spans="2:28" x14ac:dyDescent="0.25">
      <c r="B268" s="31" t="s">
        <v>6</v>
      </c>
      <c r="D268" s="32">
        <v>2003</v>
      </c>
      <c r="E268" s="31" t="s">
        <v>6</v>
      </c>
      <c r="F268" s="32" t="s">
        <v>248</v>
      </c>
      <c r="G268" s="32" t="s">
        <v>249</v>
      </c>
      <c r="H268" s="32" t="s">
        <v>140</v>
      </c>
      <c r="I268" s="31" t="s">
        <v>650</v>
      </c>
      <c r="J268" s="32" t="s">
        <v>93</v>
      </c>
      <c r="K268" s="34">
        <v>1</v>
      </c>
      <c r="L268" s="33"/>
      <c r="O268" s="36">
        <v>8.75</v>
      </c>
      <c r="P268" s="32">
        <v>8.5</v>
      </c>
      <c r="Q268" s="32" t="s">
        <v>95</v>
      </c>
      <c r="T268" s="32" t="s">
        <v>156</v>
      </c>
      <c r="U268" s="32" t="s">
        <v>141</v>
      </c>
      <c r="V268" s="32">
        <v>350</v>
      </c>
      <c r="W268" s="32" t="s">
        <v>89</v>
      </c>
      <c r="X268" s="32" t="str">
        <f t="shared" si="13"/>
        <v>Printed Insert (Front+Back) 8.75X8.5 Inch</v>
      </c>
      <c r="Y268" s="33" t="s">
        <v>462</v>
      </c>
      <c r="Z268" s="32" t="str">
        <f t="shared" si="14"/>
        <v>Insert (Front+Back) 8.75x8.5 Inch Die Cutting  350 Solid Card</v>
      </c>
      <c r="AA268" s="32" t="str">
        <f t="shared" si="15"/>
        <v>Printed  Insert (Front+Back) 9X9 Inch</v>
      </c>
      <c r="AB268" s="32" t="s">
        <v>708</v>
      </c>
    </row>
    <row r="269" spans="2:28" x14ac:dyDescent="0.25">
      <c r="B269" s="31" t="s">
        <v>6</v>
      </c>
      <c r="D269" s="32">
        <v>2003</v>
      </c>
      <c r="E269" s="31" t="s">
        <v>6</v>
      </c>
      <c r="F269" s="32" t="s">
        <v>248</v>
      </c>
      <c r="G269" s="32" t="s">
        <v>249</v>
      </c>
      <c r="H269" s="32" t="s">
        <v>140</v>
      </c>
      <c r="I269" s="31" t="s">
        <v>650</v>
      </c>
      <c r="J269" s="32" t="s">
        <v>93</v>
      </c>
      <c r="K269" s="34">
        <v>2</v>
      </c>
      <c r="L269" s="33"/>
      <c r="O269" s="36">
        <v>9</v>
      </c>
      <c r="P269" s="32">
        <v>8</v>
      </c>
      <c r="Q269" s="32" t="s">
        <v>95</v>
      </c>
      <c r="T269" s="32" t="s">
        <v>156</v>
      </c>
      <c r="U269" s="32" t="s">
        <v>141</v>
      </c>
      <c r="V269" s="32">
        <v>600</v>
      </c>
      <c r="W269" s="32" t="s">
        <v>89</v>
      </c>
      <c r="X269" s="32" t="str">
        <f t="shared" si="13"/>
        <v>Printed Insert (Front+Back) 9X8 Inch</v>
      </c>
      <c r="Y269" s="33" t="s">
        <v>463</v>
      </c>
      <c r="Z269" s="32" t="str">
        <f t="shared" si="14"/>
        <v>Insert (Front+Back) 9x8 Inch Die Cutting  600 Solid Card</v>
      </c>
      <c r="AA269" s="32" t="str">
        <f t="shared" si="15"/>
        <v>Printed  Sticker 10X1.5 CM</v>
      </c>
      <c r="AB269" s="32" t="s">
        <v>941</v>
      </c>
    </row>
    <row r="270" spans="2:28" x14ac:dyDescent="0.25">
      <c r="B270" s="31" t="s">
        <v>6</v>
      </c>
      <c r="D270" s="32">
        <v>2003</v>
      </c>
      <c r="E270" s="31" t="s">
        <v>6</v>
      </c>
      <c r="F270" s="32" t="s">
        <v>248</v>
      </c>
      <c r="G270" s="32" t="s">
        <v>249</v>
      </c>
      <c r="H270" s="32" t="s">
        <v>140</v>
      </c>
      <c r="I270" s="31" t="s">
        <v>650</v>
      </c>
      <c r="J270" s="32" t="s">
        <v>93</v>
      </c>
      <c r="K270" s="34">
        <v>2</v>
      </c>
      <c r="L270" s="33"/>
      <c r="O270" s="36">
        <v>9</v>
      </c>
      <c r="P270" s="32">
        <v>9</v>
      </c>
      <c r="Q270" s="32" t="s">
        <v>95</v>
      </c>
      <c r="T270" s="32" t="s">
        <v>236</v>
      </c>
      <c r="U270" s="32" t="s">
        <v>141</v>
      </c>
      <c r="V270" s="32">
        <v>600</v>
      </c>
      <c r="W270" s="32" t="s">
        <v>89</v>
      </c>
      <c r="X270" s="32" t="str">
        <f t="shared" si="13"/>
        <v>Printed Insert (Front+Back) 9X9 Inch</v>
      </c>
      <c r="Y270" s="33" t="s">
        <v>464</v>
      </c>
      <c r="Z270" s="32" t="str">
        <f t="shared" si="14"/>
        <v>Insert (Front+Back) 9x9 Inch Die Cutting 600 Solid Card</v>
      </c>
      <c r="AA270" s="32" t="str">
        <f t="shared" si="15"/>
        <v>Printed  Country Paper Size  42X29 CM</v>
      </c>
      <c r="AB270" s="32" t="s">
        <v>942</v>
      </c>
    </row>
    <row r="271" spans="2:28" x14ac:dyDescent="0.25">
      <c r="B271" s="31" t="s">
        <v>6</v>
      </c>
      <c r="D271" s="32">
        <v>2003</v>
      </c>
      <c r="E271" s="31" t="s">
        <v>6</v>
      </c>
      <c r="F271" s="32" t="s">
        <v>248</v>
      </c>
      <c r="G271" s="32" t="s">
        <v>249</v>
      </c>
      <c r="H271" s="32" t="s">
        <v>140</v>
      </c>
      <c r="I271" s="31" t="s">
        <v>650</v>
      </c>
      <c r="J271" s="32" t="s">
        <v>93</v>
      </c>
      <c r="K271" s="34">
        <v>2</v>
      </c>
      <c r="L271" s="33"/>
      <c r="O271" s="32">
        <v>8.25</v>
      </c>
      <c r="P271" s="32">
        <v>9</v>
      </c>
      <c r="Q271" s="32" t="s">
        <v>95</v>
      </c>
      <c r="T271" s="32" t="s">
        <v>156</v>
      </c>
      <c r="U271" s="32" t="s">
        <v>141</v>
      </c>
      <c r="V271" s="32">
        <v>600</v>
      </c>
      <c r="W271" s="32" t="s">
        <v>89</v>
      </c>
      <c r="X271" s="32" t="str">
        <f t="shared" si="13"/>
        <v>Printed Insert (Front+Back) 8.25X9 Inch</v>
      </c>
      <c r="Y271" s="33" t="s">
        <v>465</v>
      </c>
      <c r="Z271" s="32" t="str">
        <f t="shared" si="14"/>
        <v>Insert (Front+Back) 8.25x9 Inch Die Cutting  600 Solid Card</v>
      </c>
      <c r="AA271" s="32" t="str">
        <f t="shared" si="15"/>
        <v>Printed  Hang Tag 4.5X10.5 CM</v>
      </c>
      <c r="AB271" s="32" t="s">
        <v>943</v>
      </c>
    </row>
    <row r="272" spans="2:28" x14ac:dyDescent="0.25">
      <c r="B272" s="31" t="s">
        <v>6</v>
      </c>
      <c r="D272" s="32">
        <v>2003</v>
      </c>
      <c r="E272" s="31" t="s">
        <v>6</v>
      </c>
      <c r="F272" s="32" t="s">
        <v>248</v>
      </c>
      <c r="G272" s="32" t="s">
        <v>249</v>
      </c>
      <c r="H272" s="32" t="s">
        <v>140</v>
      </c>
      <c r="I272" s="31" t="s">
        <v>650</v>
      </c>
      <c r="J272" s="32" t="s">
        <v>93</v>
      </c>
      <c r="K272" s="34">
        <v>2</v>
      </c>
      <c r="L272" s="33"/>
      <c r="O272" s="32">
        <v>8.75</v>
      </c>
      <c r="P272" s="32">
        <v>9</v>
      </c>
      <c r="Q272" s="32" t="s">
        <v>95</v>
      </c>
      <c r="T272" s="32" t="s">
        <v>156</v>
      </c>
      <c r="U272" s="32" t="s">
        <v>141</v>
      </c>
      <c r="V272" s="32">
        <v>350</v>
      </c>
      <c r="W272" s="32" t="s">
        <v>89</v>
      </c>
      <c r="X272" s="32" t="str">
        <f t="shared" si="13"/>
        <v>Printed Insert (Front+Back) 8.75X9 Inch</v>
      </c>
      <c r="Y272" s="33" t="s">
        <v>466</v>
      </c>
      <c r="Z272" s="32" t="str">
        <f t="shared" si="14"/>
        <v>Insert (Front+Back) 8.75x9 Inch Die Cutting  350 Solid Card</v>
      </c>
      <c r="AA272" s="32" t="str">
        <f t="shared" si="15"/>
        <v>Printed  Band Roll  28X8.5 CM</v>
      </c>
      <c r="AB272" s="32" t="s">
        <v>944</v>
      </c>
    </row>
    <row r="273" spans="2:28" x14ac:dyDescent="0.25">
      <c r="B273" s="31" t="s">
        <v>6</v>
      </c>
      <c r="D273" s="32">
        <v>2003</v>
      </c>
      <c r="E273" s="31" t="s">
        <v>6</v>
      </c>
      <c r="F273" s="32" t="s">
        <v>248</v>
      </c>
      <c r="G273" s="32" t="s">
        <v>249</v>
      </c>
      <c r="H273" s="32" t="s">
        <v>140</v>
      </c>
      <c r="I273" s="31" t="s">
        <v>650</v>
      </c>
      <c r="J273" s="32" t="s">
        <v>93</v>
      </c>
      <c r="K273" s="34">
        <v>1</v>
      </c>
      <c r="L273" s="33"/>
      <c r="O273" s="32">
        <v>11</v>
      </c>
      <c r="P273" s="32">
        <v>10.75</v>
      </c>
      <c r="Q273" s="32" t="s">
        <v>95</v>
      </c>
      <c r="T273" s="32" t="s">
        <v>156</v>
      </c>
      <c r="U273" s="32" t="s">
        <v>141</v>
      </c>
      <c r="V273" s="32">
        <v>600</v>
      </c>
      <c r="W273" s="32" t="s">
        <v>89</v>
      </c>
      <c r="X273" s="32" t="str">
        <f t="shared" si="13"/>
        <v>Printed Insert (Front+Back) 11X10.75 Inch</v>
      </c>
      <c r="Y273" s="33" t="s">
        <v>467</v>
      </c>
      <c r="Z273" s="32" t="str">
        <f t="shared" si="14"/>
        <v>Insert (Front+Back) 11x10.75 Inch Die Cutting  600 Solid Card</v>
      </c>
      <c r="AA273" s="32" t="str">
        <f t="shared" si="15"/>
        <v>Printed  Belly Band  40X10 CM</v>
      </c>
      <c r="AB273" s="32" t="s">
        <v>945</v>
      </c>
    </row>
    <row r="274" spans="2:28" x14ac:dyDescent="0.25">
      <c r="B274" s="31" t="s">
        <v>6</v>
      </c>
      <c r="D274" s="32">
        <v>2003</v>
      </c>
      <c r="E274" s="31" t="s">
        <v>6</v>
      </c>
      <c r="F274" s="32" t="s">
        <v>248</v>
      </c>
      <c r="G274" s="32" t="s">
        <v>249</v>
      </c>
      <c r="H274" s="32" t="s">
        <v>140</v>
      </c>
      <c r="I274" s="31" t="s">
        <v>650</v>
      </c>
      <c r="J274" s="32" t="s">
        <v>93</v>
      </c>
      <c r="K274" s="34">
        <v>1</v>
      </c>
      <c r="L274" s="33"/>
      <c r="O274" s="32">
        <v>9</v>
      </c>
      <c r="P274" s="32">
        <v>8.5</v>
      </c>
      <c r="Q274" s="32" t="s">
        <v>95</v>
      </c>
      <c r="T274" s="32" t="s">
        <v>156</v>
      </c>
      <c r="U274" s="32" t="s">
        <v>141</v>
      </c>
      <c r="V274" s="32">
        <v>600</v>
      </c>
      <c r="W274" s="32" t="s">
        <v>89</v>
      </c>
      <c r="X274" s="32" t="str">
        <f t="shared" si="13"/>
        <v>Printed Insert (Front+Back) 9X8.5 Inch</v>
      </c>
      <c r="Y274" s="33" t="s">
        <v>468</v>
      </c>
      <c r="Z274" s="32" t="str">
        <f t="shared" si="14"/>
        <v>Insert (Front+Back) 9x8.5 Inch Die Cutting  600 Solid Card</v>
      </c>
      <c r="AA274" s="32" t="str">
        <f t="shared" si="15"/>
        <v>Printed  Belly Band  60X10 CM</v>
      </c>
      <c r="AB274" s="32" t="s">
        <v>729</v>
      </c>
    </row>
    <row r="275" spans="2:28" x14ac:dyDescent="0.25">
      <c r="B275" s="31" t="s">
        <v>6</v>
      </c>
      <c r="D275" s="32">
        <v>2003</v>
      </c>
      <c r="E275" s="31" t="s">
        <v>6</v>
      </c>
      <c r="F275" s="32" t="s">
        <v>248</v>
      </c>
      <c r="G275" s="32" t="s">
        <v>249</v>
      </c>
      <c r="H275" s="32" t="s">
        <v>140</v>
      </c>
      <c r="I275" s="31" t="s">
        <v>650</v>
      </c>
      <c r="J275" s="32" t="s">
        <v>93</v>
      </c>
      <c r="K275" s="34">
        <v>3</v>
      </c>
      <c r="L275" s="33"/>
      <c r="O275" s="32">
        <v>8.5</v>
      </c>
      <c r="P275" s="32">
        <v>9</v>
      </c>
      <c r="Q275" s="32" t="s">
        <v>95</v>
      </c>
      <c r="T275" s="32" t="s">
        <v>156</v>
      </c>
      <c r="U275" s="32" t="s">
        <v>141</v>
      </c>
      <c r="V275" s="32">
        <v>600</v>
      </c>
      <c r="W275" s="32" t="s">
        <v>89</v>
      </c>
      <c r="X275" s="32" t="str">
        <f t="shared" si="13"/>
        <v>Printed Insert (Front+Back) 8.5X9 Inch</v>
      </c>
      <c r="Y275" s="33" t="s">
        <v>469</v>
      </c>
      <c r="Z275" s="32" t="str">
        <f t="shared" si="14"/>
        <v>Insert (Front+Back) 8.5x9 Inch Die Cutting  600 Solid Card</v>
      </c>
      <c r="AA275" s="32" t="str">
        <f t="shared" si="15"/>
        <v>Printed  Belly Band  46X9.5 CM</v>
      </c>
      <c r="AB275" s="32" t="s">
        <v>946</v>
      </c>
    </row>
    <row r="276" spans="2:28" x14ac:dyDescent="0.25">
      <c r="B276" s="31" t="s">
        <v>6</v>
      </c>
      <c r="D276" s="32">
        <v>2003</v>
      </c>
      <c r="E276" s="31" t="s">
        <v>6</v>
      </c>
      <c r="F276" s="32" t="s">
        <v>248</v>
      </c>
      <c r="G276" s="32" t="s">
        <v>249</v>
      </c>
      <c r="H276" s="32" t="s">
        <v>140</v>
      </c>
      <c r="I276" s="31" t="s">
        <v>650</v>
      </c>
      <c r="J276" s="32" t="s">
        <v>93</v>
      </c>
      <c r="K276" s="34">
        <v>1</v>
      </c>
      <c r="L276" s="33"/>
      <c r="O276" s="32">
        <v>9</v>
      </c>
      <c r="P276" s="32">
        <v>9</v>
      </c>
      <c r="Q276" s="32" t="s">
        <v>95</v>
      </c>
      <c r="T276" s="32" t="s">
        <v>236</v>
      </c>
      <c r="U276" s="32" t="s">
        <v>141</v>
      </c>
      <c r="V276" s="32">
        <v>600</v>
      </c>
      <c r="W276" s="32" t="s">
        <v>89</v>
      </c>
      <c r="X276" s="32" t="str">
        <f t="shared" si="13"/>
        <v>Printed Insert (Front+Back) 9X9 Inch</v>
      </c>
      <c r="Y276" s="33" t="s">
        <v>470</v>
      </c>
      <c r="Z276" s="32" t="str">
        <f t="shared" si="14"/>
        <v>Insert (Front+Back) 9x9 Inch Die Cutting 600 Solid Card</v>
      </c>
      <c r="AA276" s="32" t="str">
        <f t="shared" si="15"/>
        <v>Printed  Belly Band 29X8 CM</v>
      </c>
      <c r="AB276" s="32" t="s">
        <v>947</v>
      </c>
    </row>
    <row r="277" spans="2:28" x14ac:dyDescent="0.25">
      <c r="B277" s="31" t="s">
        <v>6</v>
      </c>
      <c r="D277" s="32">
        <v>2003</v>
      </c>
      <c r="E277" s="31" t="s">
        <v>6</v>
      </c>
      <c r="F277" s="32" t="s">
        <v>248</v>
      </c>
      <c r="G277" s="32" t="s">
        <v>249</v>
      </c>
      <c r="H277" s="32" t="s">
        <v>97</v>
      </c>
      <c r="I277" s="35" t="s">
        <v>102</v>
      </c>
      <c r="J277" s="32" t="s">
        <v>93</v>
      </c>
      <c r="K277" s="32">
        <v>1</v>
      </c>
      <c r="L277" s="31"/>
      <c r="O277" s="32">
        <v>10</v>
      </c>
      <c r="P277" s="32">
        <v>1.5</v>
      </c>
      <c r="Q277" s="32" t="s">
        <v>94</v>
      </c>
      <c r="T277" s="32" t="s">
        <v>331</v>
      </c>
      <c r="U277" s="32" t="s">
        <v>332</v>
      </c>
      <c r="V277" s="32">
        <v>80</v>
      </c>
      <c r="W277" s="32" t="s">
        <v>89</v>
      </c>
      <c r="X277" s="32" t="str">
        <f t="shared" si="13"/>
        <v>Printed Sticker 10X1.5 CM</v>
      </c>
      <c r="Y277" s="31" t="s">
        <v>471</v>
      </c>
      <c r="Z277" s="32" t="str">
        <f t="shared" si="14"/>
        <v>Sticker 10x1.5 CM Pollar Cutting  80 TRANSPARENT STICKER</v>
      </c>
      <c r="AA277" s="32" t="str">
        <f t="shared" si="15"/>
        <v>Printed  Belly Band 65.5X13 CM</v>
      </c>
      <c r="AB277" s="32" t="s">
        <v>948</v>
      </c>
    </row>
    <row r="278" spans="2:28" x14ac:dyDescent="0.25">
      <c r="B278" s="31" t="s">
        <v>6</v>
      </c>
      <c r="D278" s="32">
        <v>2003</v>
      </c>
      <c r="E278" s="31" t="s">
        <v>6</v>
      </c>
      <c r="F278" s="32" t="s">
        <v>248</v>
      </c>
      <c r="G278" s="32" t="s">
        <v>249</v>
      </c>
      <c r="H278" s="32" t="s">
        <v>97</v>
      </c>
      <c r="I278" s="33" t="s">
        <v>333</v>
      </c>
      <c r="J278" s="32" t="s">
        <v>93</v>
      </c>
      <c r="K278" s="32">
        <v>1</v>
      </c>
      <c r="L278" s="33"/>
      <c r="O278" s="32">
        <v>42</v>
      </c>
      <c r="P278" s="32">
        <v>29</v>
      </c>
      <c r="Q278" s="32" t="s">
        <v>94</v>
      </c>
      <c r="T278" s="32" t="s">
        <v>331</v>
      </c>
      <c r="U278" s="32" t="s">
        <v>334</v>
      </c>
      <c r="V278" s="32">
        <v>80</v>
      </c>
      <c r="W278" s="32" t="s">
        <v>89</v>
      </c>
      <c r="X278" s="32" t="str">
        <f t="shared" si="13"/>
        <v>Printed Country Paper Size  42X29 CM</v>
      </c>
      <c r="Y278" s="33" t="s">
        <v>472</v>
      </c>
      <c r="Z278" s="32" t="str">
        <f t="shared" si="14"/>
        <v>Country Paper Size  42x29 CM Pollar Cutting  80 OFFSET PAPER</v>
      </c>
      <c r="AA278" s="32" t="str">
        <f t="shared" si="15"/>
        <v>Printed  Belly Band  73.5X13 CM</v>
      </c>
      <c r="AB278" s="32" t="s">
        <v>949</v>
      </c>
    </row>
    <row r="279" spans="2:28" x14ac:dyDescent="0.25">
      <c r="B279" s="31" t="s">
        <v>6</v>
      </c>
      <c r="D279" s="32">
        <v>2003</v>
      </c>
      <c r="E279" s="31" t="s">
        <v>6</v>
      </c>
      <c r="F279" s="32" t="s">
        <v>248</v>
      </c>
      <c r="G279" s="32" t="s">
        <v>249</v>
      </c>
      <c r="H279" s="32" t="s">
        <v>97</v>
      </c>
      <c r="I279" s="31" t="s">
        <v>155</v>
      </c>
      <c r="J279" s="32" t="s">
        <v>93</v>
      </c>
      <c r="K279" s="32">
        <v>1</v>
      </c>
      <c r="L279" s="33"/>
      <c r="O279" s="32">
        <v>4.5</v>
      </c>
      <c r="P279" s="32">
        <v>10.5</v>
      </c>
      <c r="Q279" s="32" t="s">
        <v>94</v>
      </c>
      <c r="T279" s="32" t="s">
        <v>331</v>
      </c>
      <c r="U279" s="32" t="s">
        <v>335</v>
      </c>
      <c r="V279" s="32">
        <v>320</v>
      </c>
      <c r="W279" s="32" t="s">
        <v>89</v>
      </c>
      <c r="X279" s="32" t="str">
        <f t="shared" si="13"/>
        <v>Printed Hang Tag 4.5X10.5 CM</v>
      </c>
      <c r="Y279" s="33" t="s">
        <v>224</v>
      </c>
      <c r="Z279" s="32" t="str">
        <f t="shared" si="14"/>
        <v>Hang Tag 4.5x10.5 CM Pollar Cutting  320 Amlet Board</v>
      </c>
      <c r="AA279" s="32" t="str">
        <f t="shared" si="15"/>
        <v>Printed  Shipping Mark  7.8X4 CM</v>
      </c>
      <c r="AB279" s="32" t="s">
        <v>950</v>
      </c>
    </row>
    <row r="280" spans="2:28" x14ac:dyDescent="0.25">
      <c r="B280" s="31" t="s">
        <v>6</v>
      </c>
      <c r="D280" s="32">
        <v>2003</v>
      </c>
      <c r="E280" s="31" t="s">
        <v>6</v>
      </c>
      <c r="F280" s="32" t="s">
        <v>248</v>
      </c>
      <c r="G280" s="32" t="s">
        <v>249</v>
      </c>
      <c r="H280" s="32" t="s">
        <v>97</v>
      </c>
      <c r="I280" s="31" t="s">
        <v>121</v>
      </c>
      <c r="J280" s="32" t="s">
        <v>93</v>
      </c>
      <c r="K280" s="32">
        <v>1</v>
      </c>
      <c r="L280" s="33"/>
      <c r="O280" s="32">
        <v>28</v>
      </c>
      <c r="P280" s="32">
        <v>8.5</v>
      </c>
      <c r="Q280" s="32" t="s">
        <v>94</v>
      </c>
      <c r="T280" s="32" t="s">
        <v>331</v>
      </c>
      <c r="U280" s="32" t="s">
        <v>110</v>
      </c>
      <c r="V280" s="32">
        <v>300</v>
      </c>
      <c r="W280" s="32" t="s">
        <v>89</v>
      </c>
      <c r="X280" s="32" t="str">
        <f t="shared" si="13"/>
        <v>Printed Band Roll  28X8.5 CM</v>
      </c>
      <c r="Y280" s="31" t="s">
        <v>473</v>
      </c>
      <c r="Z280" s="32" t="str">
        <f t="shared" si="14"/>
        <v>Band Roll  28x8.5 CM Pollar Cutting  300 Swedish Board</v>
      </c>
      <c r="AA280" s="32" t="str">
        <f t="shared" si="15"/>
        <v>Printed  Hang Tag 21X5.5 CM</v>
      </c>
      <c r="AB280" s="32" t="s">
        <v>951</v>
      </c>
    </row>
    <row r="281" spans="2:28" x14ac:dyDescent="0.25">
      <c r="B281" s="31" t="s">
        <v>6</v>
      </c>
      <c r="D281" s="32">
        <v>2003</v>
      </c>
      <c r="E281" s="31" t="s">
        <v>6</v>
      </c>
      <c r="F281" s="32" t="s">
        <v>248</v>
      </c>
      <c r="G281" s="32" t="s">
        <v>249</v>
      </c>
      <c r="H281" s="32" t="s">
        <v>97</v>
      </c>
      <c r="I281" s="33" t="s">
        <v>175</v>
      </c>
      <c r="J281" s="32" t="s">
        <v>93</v>
      </c>
      <c r="K281" s="32">
        <v>1</v>
      </c>
      <c r="L281" s="33"/>
      <c r="O281" s="32">
        <v>40</v>
      </c>
      <c r="P281" s="32">
        <v>10</v>
      </c>
      <c r="Q281" s="32" t="s">
        <v>94</v>
      </c>
      <c r="T281" s="32" t="s">
        <v>331</v>
      </c>
      <c r="U281" s="32" t="s">
        <v>336</v>
      </c>
      <c r="V281" s="32">
        <v>120</v>
      </c>
      <c r="W281" s="32" t="s">
        <v>89</v>
      </c>
      <c r="X281" s="32" t="str">
        <f t="shared" si="13"/>
        <v>Printed Belly Band  40X10 CM</v>
      </c>
      <c r="Y281" s="33" t="s">
        <v>474</v>
      </c>
      <c r="Z281" s="32" t="str">
        <f t="shared" si="14"/>
        <v>Belly Band  40x10 CM Pollar Cutting  120 ART Paper</v>
      </c>
      <c r="AA281" s="32" t="str">
        <f t="shared" si="15"/>
        <v>Printed  Carton Sticker 6.5X6.5 CM</v>
      </c>
      <c r="AB281" s="32" t="s">
        <v>952</v>
      </c>
    </row>
    <row r="282" spans="2:28" x14ac:dyDescent="0.25">
      <c r="B282" s="31" t="s">
        <v>6</v>
      </c>
      <c r="D282" s="32">
        <v>2003</v>
      </c>
      <c r="E282" s="31" t="s">
        <v>6</v>
      </c>
      <c r="F282" s="32" t="s">
        <v>248</v>
      </c>
      <c r="G282" s="32" t="s">
        <v>249</v>
      </c>
      <c r="H282" s="32" t="s">
        <v>97</v>
      </c>
      <c r="I282" s="33" t="s">
        <v>175</v>
      </c>
      <c r="J282" s="32" t="s">
        <v>93</v>
      </c>
      <c r="K282" s="32">
        <v>1</v>
      </c>
      <c r="L282" s="33"/>
      <c r="O282" s="32">
        <v>60</v>
      </c>
      <c r="P282" s="32">
        <v>10</v>
      </c>
      <c r="Q282" s="32" t="s">
        <v>94</v>
      </c>
      <c r="T282" s="32" t="s">
        <v>331</v>
      </c>
      <c r="U282" s="32" t="s">
        <v>336</v>
      </c>
      <c r="V282" s="32">
        <v>120</v>
      </c>
      <c r="W282" s="32" t="s">
        <v>89</v>
      </c>
      <c r="X282" s="32" t="str">
        <f t="shared" si="13"/>
        <v>Printed Belly Band  60X10 CM</v>
      </c>
      <c r="Y282" s="33" t="s">
        <v>475</v>
      </c>
      <c r="Z282" s="32" t="str">
        <f t="shared" si="14"/>
        <v>Belly Band  60x10 CM Pollar Cutting  120 ART Paper</v>
      </c>
      <c r="AA282" s="32" t="str">
        <f t="shared" si="15"/>
        <v>Printed  Carton Sticker  7X5 CM</v>
      </c>
      <c r="AB282" s="32" t="s">
        <v>953</v>
      </c>
    </row>
    <row r="283" spans="2:28" x14ac:dyDescent="0.25">
      <c r="B283" s="31" t="s">
        <v>6</v>
      </c>
      <c r="D283" s="32">
        <v>2003</v>
      </c>
      <c r="E283" s="31" t="s">
        <v>6</v>
      </c>
      <c r="F283" s="32" t="s">
        <v>248</v>
      </c>
      <c r="G283" s="32" t="s">
        <v>249</v>
      </c>
      <c r="H283" s="32" t="s">
        <v>97</v>
      </c>
      <c r="I283" s="33" t="s">
        <v>175</v>
      </c>
      <c r="J283" s="32" t="s">
        <v>93</v>
      </c>
      <c r="K283" s="32">
        <v>5</v>
      </c>
      <c r="L283" s="33"/>
      <c r="O283" s="32">
        <v>46</v>
      </c>
      <c r="P283" s="32">
        <v>9.5</v>
      </c>
      <c r="Q283" s="32" t="s">
        <v>94</v>
      </c>
      <c r="S283" s="32" t="s">
        <v>122</v>
      </c>
      <c r="T283" s="32" t="s">
        <v>331</v>
      </c>
      <c r="U283" s="32" t="s">
        <v>110</v>
      </c>
      <c r="V283" s="32">
        <v>300</v>
      </c>
      <c r="W283" s="32" t="s">
        <v>89</v>
      </c>
      <c r="X283" s="32" t="str">
        <f t="shared" si="13"/>
        <v>Printed Belly Band  46X9.5 CM</v>
      </c>
      <c r="Y283" s="33" t="s">
        <v>476</v>
      </c>
      <c r="Z283" s="32" t="str">
        <f t="shared" si="14"/>
        <v>Belly Band  46x9.5 CM Pollar Cutting  300 Swedish Board</v>
      </c>
      <c r="AA283" s="32" t="str">
        <f t="shared" si="15"/>
        <v>Printed  Set Barcode 4.7X3 CM</v>
      </c>
      <c r="AB283" s="32" t="s">
        <v>954</v>
      </c>
    </row>
    <row r="284" spans="2:28" x14ac:dyDescent="0.25">
      <c r="B284" s="31" t="s">
        <v>6</v>
      </c>
      <c r="D284" s="32">
        <v>2003</v>
      </c>
      <c r="E284" s="31" t="s">
        <v>6</v>
      </c>
      <c r="F284" s="32" t="s">
        <v>248</v>
      </c>
      <c r="G284" s="32" t="s">
        <v>249</v>
      </c>
      <c r="H284" s="32" t="s">
        <v>97</v>
      </c>
      <c r="I284" s="33" t="s">
        <v>172</v>
      </c>
      <c r="J284" s="32" t="s">
        <v>93</v>
      </c>
      <c r="K284" s="32">
        <v>5</v>
      </c>
      <c r="L284" s="33"/>
      <c r="O284" s="32">
        <v>29</v>
      </c>
      <c r="P284" s="32">
        <v>8</v>
      </c>
      <c r="Q284" s="32" t="s">
        <v>94</v>
      </c>
      <c r="S284" s="32" t="s">
        <v>122</v>
      </c>
      <c r="T284" s="32" t="s">
        <v>331</v>
      </c>
      <c r="U284" s="32" t="s">
        <v>110</v>
      </c>
      <c r="V284" s="32">
        <v>300</v>
      </c>
      <c r="W284" s="32" t="s">
        <v>89</v>
      </c>
      <c r="X284" s="32" t="str">
        <f t="shared" si="13"/>
        <v>Printed Belly Band 29X8 CM</v>
      </c>
      <c r="Y284" s="33" t="s">
        <v>477</v>
      </c>
      <c r="Z284" s="32" t="str">
        <f t="shared" si="14"/>
        <v>Belly Band 29x8 CM Pollar Cutting  300 Swedish Board</v>
      </c>
      <c r="AA284" s="32" t="str">
        <f t="shared" si="15"/>
        <v>Printed  Barcode Sticker 8X6 CM</v>
      </c>
      <c r="AB284" s="32" t="s">
        <v>955</v>
      </c>
    </row>
    <row r="285" spans="2:28" x14ac:dyDescent="0.25">
      <c r="B285" s="31" t="s">
        <v>6</v>
      </c>
      <c r="D285" s="32">
        <v>2003</v>
      </c>
      <c r="E285" s="31" t="s">
        <v>6</v>
      </c>
      <c r="F285" s="32" t="s">
        <v>248</v>
      </c>
      <c r="G285" s="32" t="s">
        <v>249</v>
      </c>
      <c r="H285" s="32" t="s">
        <v>97</v>
      </c>
      <c r="I285" s="31" t="s">
        <v>172</v>
      </c>
      <c r="J285" s="32" t="s">
        <v>93</v>
      </c>
      <c r="K285" s="32">
        <v>6</v>
      </c>
      <c r="L285" s="33"/>
      <c r="O285" s="32">
        <v>65.5</v>
      </c>
      <c r="P285" s="32">
        <v>13</v>
      </c>
      <c r="Q285" s="32" t="s">
        <v>94</v>
      </c>
      <c r="S285" s="32" t="s">
        <v>122</v>
      </c>
      <c r="T285" s="32" t="s">
        <v>331</v>
      </c>
      <c r="U285" s="32" t="s">
        <v>110</v>
      </c>
      <c r="V285" s="32">
        <v>300</v>
      </c>
      <c r="W285" s="32" t="s">
        <v>89</v>
      </c>
      <c r="X285" s="32" t="str">
        <f t="shared" si="13"/>
        <v>Printed Belly Band 65.5X13 CM</v>
      </c>
      <c r="Y285" s="31" t="s">
        <v>478</v>
      </c>
      <c r="Z285" s="32" t="str">
        <f t="shared" si="14"/>
        <v>Belly Band 65.5x13 CM Pollar Cutting  300 Swedish Board</v>
      </c>
      <c r="AA285" s="32" t="str">
        <f t="shared" si="15"/>
        <v>Printed  Set Barcode 4.6X4.6 CM</v>
      </c>
      <c r="AB285" s="32" t="s">
        <v>956</v>
      </c>
    </row>
    <row r="286" spans="2:28" x14ac:dyDescent="0.25">
      <c r="B286" s="31" t="s">
        <v>6</v>
      </c>
      <c r="D286" s="32">
        <v>2003</v>
      </c>
      <c r="E286" s="31" t="s">
        <v>6</v>
      </c>
      <c r="F286" s="32" t="s">
        <v>248</v>
      </c>
      <c r="G286" s="32" t="s">
        <v>249</v>
      </c>
      <c r="H286" s="32" t="s">
        <v>97</v>
      </c>
      <c r="I286" s="33" t="s">
        <v>175</v>
      </c>
      <c r="J286" s="32" t="s">
        <v>93</v>
      </c>
      <c r="K286" s="32">
        <v>6</v>
      </c>
      <c r="L286" s="33"/>
      <c r="O286" s="32">
        <v>73.5</v>
      </c>
      <c r="P286" s="32">
        <v>13</v>
      </c>
      <c r="Q286" s="32" t="s">
        <v>94</v>
      </c>
      <c r="S286" s="32" t="s">
        <v>122</v>
      </c>
      <c r="T286" s="32" t="s">
        <v>331</v>
      </c>
      <c r="U286" s="32" t="s">
        <v>110</v>
      </c>
      <c r="V286" s="32">
        <v>300</v>
      </c>
      <c r="W286" s="32" t="s">
        <v>89</v>
      </c>
      <c r="X286" s="32" t="str">
        <f t="shared" si="13"/>
        <v>Printed Belly Band  73.5X13 CM</v>
      </c>
      <c r="Y286" s="33" t="s">
        <v>479</v>
      </c>
      <c r="Z286" s="32" t="str">
        <f t="shared" si="14"/>
        <v>Belly Band  73.5x13 CM Pollar Cutting  300 Swedish Board</v>
      </c>
      <c r="AA286" s="32" t="str">
        <f t="shared" si="15"/>
        <v>Printed  Transparent Stcker 17X2.8 CM</v>
      </c>
      <c r="AB286" s="32" t="s">
        <v>957</v>
      </c>
    </row>
    <row r="287" spans="2:28" x14ac:dyDescent="0.25">
      <c r="B287" s="31" t="s">
        <v>6</v>
      </c>
      <c r="D287" s="32">
        <v>2003</v>
      </c>
      <c r="E287" s="31" t="s">
        <v>6</v>
      </c>
      <c r="F287" s="32" t="s">
        <v>248</v>
      </c>
      <c r="G287" s="32" t="s">
        <v>249</v>
      </c>
      <c r="H287" s="32" t="s">
        <v>97</v>
      </c>
      <c r="I287" s="31" t="s">
        <v>211</v>
      </c>
      <c r="J287" s="32" t="s">
        <v>93</v>
      </c>
      <c r="K287" s="32">
        <v>1</v>
      </c>
      <c r="L287" s="33"/>
      <c r="O287" s="32">
        <v>7.8</v>
      </c>
      <c r="P287" s="32">
        <v>4</v>
      </c>
      <c r="Q287" s="32" t="s">
        <v>94</v>
      </c>
      <c r="T287" s="32" t="s">
        <v>331</v>
      </c>
      <c r="U287" s="32" t="s">
        <v>337</v>
      </c>
      <c r="V287" s="32">
        <v>80</v>
      </c>
      <c r="W287" s="32" t="s">
        <v>89</v>
      </c>
      <c r="X287" s="32" t="str">
        <f t="shared" si="13"/>
        <v>Printed Shipping Mark  7.8X4 CM</v>
      </c>
      <c r="Y287" s="33" t="s">
        <v>480</v>
      </c>
      <c r="Z287" s="32" t="str">
        <f t="shared" si="14"/>
        <v>Shipping Mark  7.8x4 CM Pollar Cutting  80 Glossy sticker</v>
      </c>
      <c r="AA287" s="32" t="str">
        <f t="shared" si="15"/>
        <v>Printed  Barcode Sticker 5X4 CM</v>
      </c>
      <c r="AB287" s="32" t="s">
        <v>958</v>
      </c>
    </row>
    <row r="288" spans="2:28" x14ac:dyDescent="0.25">
      <c r="B288" s="31" t="s">
        <v>6</v>
      </c>
      <c r="D288" s="32">
        <v>2003</v>
      </c>
      <c r="E288" s="31" t="s">
        <v>6</v>
      </c>
      <c r="F288" s="32" t="s">
        <v>248</v>
      </c>
      <c r="G288" s="32" t="s">
        <v>249</v>
      </c>
      <c r="H288" s="32" t="s">
        <v>97</v>
      </c>
      <c r="I288" s="31" t="s">
        <v>155</v>
      </c>
      <c r="J288" s="32" t="s">
        <v>93</v>
      </c>
      <c r="K288" s="32">
        <v>2</v>
      </c>
      <c r="L288" s="33"/>
      <c r="O288" s="32">
        <v>21</v>
      </c>
      <c r="P288" s="32">
        <v>5.5</v>
      </c>
      <c r="Q288" s="32" t="s">
        <v>94</v>
      </c>
      <c r="T288" s="32" t="s">
        <v>156</v>
      </c>
      <c r="U288" s="32" t="s">
        <v>338</v>
      </c>
      <c r="V288" s="32">
        <v>300</v>
      </c>
      <c r="W288" s="32" t="s">
        <v>89</v>
      </c>
      <c r="X288" s="32" t="str">
        <f t="shared" si="13"/>
        <v>Printed Hang Tag 21X5.5 CM</v>
      </c>
      <c r="Y288" s="33" t="s">
        <v>481</v>
      </c>
      <c r="Z288" s="32" t="str">
        <f t="shared" si="14"/>
        <v>Hang Tag 21x5.5 CM Die Cutting  300 ART CARD</v>
      </c>
      <c r="AA288" s="32" t="str">
        <f t="shared" si="15"/>
        <v>Printed  Sticker 6X6 CM</v>
      </c>
      <c r="AB288" s="32" t="s">
        <v>959</v>
      </c>
    </row>
    <row r="289" spans="2:28" x14ac:dyDescent="0.25">
      <c r="B289" s="31" t="s">
        <v>6</v>
      </c>
      <c r="D289" s="32">
        <v>2003</v>
      </c>
      <c r="E289" s="31" t="s">
        <v>6</v>
      </c>
      <c r="F289" s="32" t="s">
        <v>248</v>
      </c>
      <c r="G289" s="32" t="s">
        <v>249</v>
      </c>
      <c r="H289" s="32" t="s">
        <v>97</v>
      </c>
      <c r="I289" s="31" t="s">
        <v>34</v>
      </c>
      <c r="J289" s="32" t="s">
        <v>93</v>
      </c>
      <c r="K289" s="32">
        <v>1</v>
      </c>
      <c r="L289" s="33"/>
      <c r="O289" s="32">
        <v>6.5</v>
      </c>
      <c r="P289" s="32">
        <v>6.5</v>
      </c>
      <c r="Q289" s="32" t="s">
        <v>94</v>
      </c>
      <c r="T289" s="32" t="s">
        <v>331</v>
      </c>
      <c r="U289" s="32" t="s">
        <v>337</v>
      </c>
      <c r="V289" s="32">
        <v>80</v>
      </c>
      <c r="W289" s="32" t="s">
        <v>89</v>
      </c>
      <c r="X289" s="32" t="str">
        <f t="shared" si="13"/>
        <v>Printed Carton Sticker 6.5X6.5 CM</v>
      </c>
      <c r="Y289" s="33" t="s">
        <v>482</v>
      </c>
      <c r="Z289" s="32" t="str">
        <f t="shared" si="14"/>
        <v>Carton Sticker 6.5x6.5 CM Pollar Cutting  80 Glossy sticker</v>
      </c>
      <c r="AA289" s="32" t="str">
        <f t="shared" si="15"/>
        <v>Printed  Sticker 4.5X3 CM</v>
      </c>
      <c r="AB289" s="32" t="s">
        <v>960</v>
      </c>
    </row>
    <row r="290" spans="2:28" x14ac:dyDescent="0.25">
      <c r="B290" s="31" t="s">
        <v>6</v>
      </c>
      <c r="D290" s="32">
        <v>2003</v>
      </c>
      <c r="E290" s="31" t="s">
        <v>6</v>
      </c>
      <c r="F290" s="32" t="s">
        <v>248</v>
      </c>
      <c r="G290" s="32" t="s">
        <v>249</v>
      </c>
      <c r="H290" s="32" t="s">
        <v>97</v>
      </c>
      <c r="I290" s="31" t="s">
        <v>137</v>
      </c>
      <c r="J290" s="32" t="s">
        <v>93</v>
      </c>
      <c r="K290" s="32">
        <v>1</v>
      </c>
      <c r="L290" s="33"/>
      <c r="O290" s="32">
        <v>7</v>
      </c>
      <c r="P290" s="32">
        <v>5</v>
      </c>
      <c r="Q290" s="32" t="s">
        <v>94</v>
      </c>
      <c r="T290" s="32" t="s">
        <v>331</v>
      </c>
      <c r="U290" s="32" t="s">
        <v>337</v>
      </c>
      <c r="V290" s="32">
        <v>80</v>
      </c>
      <c r="W290" s="32" t="s">
        <v>89</v>
      </c>
      <c r="X290" s="32" t="str">
        <f t="shared" si="13"/>
        <v>Printed Carton Sticker  7X5 CM</v>
      </c>
      <c r="Y290" s="33" t="s">
        <v>483</v>
      </c>
      <c r="Z290" s="32" t="str">
        <f t="shared" si="14"/>
        <v>Carton Sticker  7x5 CM Pollar Cutting  80 Glossy sticker</v>
      </c>
      <c r="AA290" s="32" t="str">
        <f t="shared" si="15"/>
        <v>Printed  Barcode Sticker 3.2X2.4 CM</v>
      </c>
      <c r="AB290" s="32" t="s">
        <v>961</v>
      </c>
    </row>
    <row r="291" spans="2:28" x14ac:dyDescent="0.25">
      <c r="B291" s="31" t="s">
        <v>6</v>
      </c>
      <c r="D291" s="32">
        <v>2003</v>
      </c>
      <c r="E291" s="31" t="s">
        <v>6</v>
      </c>
      <c r="F291" s="32" t="s">
        <v>248</v>
      </c>
      <c r="G291" s="32" t="s">
        <v>249</v>
      </c>
      <c r="H291" s="32" t="s">
        <v>97</v>
      </c>
      <c r="I291" s="33" t="s">
        <v>181</v>
      </c>
      <c r="J291" s="32" t="s">
        <v>93</v>
      </c>
      <c r="K291" s="32">
        <v>1</v>
      </c>
      <c r="L291" s="33"/>
      <c r="O291" s="32">
        <v>4.7</v>
      </c>
      <c r="P291" s="32">
        <v>3</v>
      </c>
      <c r="Q291" s="32" t="s">
        <v>94</v>
      </c>
      <c r="T291" s="32" t="s">
        <v>331</v>
      </c>
      <c r="U291" s="32" t="s">
        <v>337</v>
      </c>
      <c r="V291" s="32">
        <v>80</v>
      </c>
      <c r="W291" s="32" t="s">
        <v>89</v>
      </c>
      <c r="X291" s="32" t="str">
        <f t="shared" si="13"/>
        <v>Printed Set Barcode 4.7X3 CM</v>
      </c>
      <c r="Y291" s="33" t="s">
        <v>484</v>
      </c>
      <c r="Z291" s="32" t="str">
        <f t="shared" si="14"/>
        <v>Set Barcode 4.7x3 CM Pollar Cutting  80 Glossy sticker</v>
      </c>
      <c r="AA291" s="32" t="str">
        <f t="shared" si="15"/>
        <v>Printed  Carton Sticker  10.5X2.6 CM</v>
      </c>
      <c r="AB291" s="32" t="s">
        <v>962</v>
      </c>
    </row>
    <row r="292" spans="2:28" x14ac:dyDescent="0.25">
      <c r="B292" s="31" t="s">
        <v>6</v>
      </c>
      <c r="D292" s="32">
        <v>2003</v>
      </c>
      <c r="E292" s="31" t="s">
        <v>6</v>
      </c>
      <c r="F292" s="32" t="s">
        <v>248</v>
      </c>
      <c r="G292" s="32" t="s">
        <v>249</v>
      </c>
      <c r="H292" s="32" t="s">
        <v>97</v>
      </c>
      <c r="I292" s="31" t="s">
        <v>147</v>
      </c>
      <c r="J292" s="32" t="s">
        <v>93</v>
      </c>
      <c r="K292" s="32">
        <v>1</v>
      </c>
      <c r="L292" s="33"/>
      <c r="O292" s="32">
        <v>8</v>
      </c>
      <c r="P292" s="32">
        <v>6</v>
      </c>
      <c r="Q292" s="32" t="s">
        <v>94</v>
      </c>
      <c r="T292" s="32" t="s">
        <v>331</v>
      </c>
      <c r="U292" s="32" t="s">
        <v>337</v>
      </c>
      <c r="V292" s="32">
        <v>80</v>
      </c>
      <c r="W292" s="32" t="s">
        <v>89</v>
      </c>
      <c r="X292" s="32" t="str">
        <f t="shared" si="13"/>
        <v>Printed Barcode Sticker 8X6 CM</v>
      </c>
      <c r="Y292" s="33" t="s">
        <v>485</v>
      </c>
      <c r="Z292" s="32" t="str">
        <f t="shared" si="14"/>
        <v>Barcode Sticker 8x6 CM Pollar Cutting  80 Glossy sticker</v>
      </c>
      <c r="AA292" s="32" t="str">
        <f t="shared" si="15"/>
        <v>Printed  Barcode Sticker 3.2X4.2 CM</v>
      </c>
      <c r="AB292" s="32" t="s">
        <v>963</v>
      </c>
    </row>
    <row r="293" spans="2:28" x14ac:dyDescent="0.25">
      <c r="B293" s="31" t="s">
        <v>6</v>
      </c>
      <c r="D293" s="32">
        <v>2003</v>
      </c>
      <c r="E293" s="31" t="s">
        <v>6</v>
      </c>
      <c r="F293" s="32" t="s">
        <v>248</v>
      </c>
      <c r="G293" s="32" t="s">
        <v>249</v>
      </c>
      <c r="H293" s="32" t="s">
        <v>97</v>
      </c>
      <c r="I293" s="33" t="s">
        <v>181</v>
      </c>
      <c r="J293" s="32" t="s">
        <v>93</v>
      </c>
      <c r="K293" s="32">
        <v>1</v>
      </c>
      <c r="L293" s="33"/>
      <c r="O293" s="32">
        <v>4.5999999999999996</v>
      </c>
      <c r="P293" s="32">
        <v>4.5999999999999996</v>
      </c>
      <c r="Q293" s="32" t="s">
        <v>94</v>
      </c>
      <c r="T293" s="32" t="s">
        <v>331</v>
      </c>
      <c r="U293" s="32" t="s">
        <v>337</v>
      </c>
      <c r="V293" s="32">
        <v>80</v>
      </c>
      <c r="W293" s="32" t="s">
        <v>89</v>
      </c>
      <c r="X293" s="32" t="str">
        <f t="shared" si="13"/>
        <v>Printed Set Barcode 4.6X4.6 CM</v>
      </c>
      <c r="Y293" s="33" t="s">
        <v>486</v>
      </c>
      <c r="Z293" s="32" t="str">
        <f t="shared" si="14"/>
        <v>Set Barcode 4.6x4.6 CM Pollar Cutting  80 Glossy sticker</v>
      </c>
      <c r="AA293" s="32" t="str">
        <f t="shared" si="15"/>
        <v>Printed  Sticker 1.2X1 CM</v>
      </c>
      <c r="AB293" s="32" t="s">
        <v>964</v>
      </c>
    </row>
    <row r="294" spans="2:28" x14ac:dyDescent="0.25">
      <c r="B294" s="31" t="s">
        <v>6</v>
      </c>
      <c r="D294" s="32">
        <v>2003</v>
      </c>
      <c r="E294" s="31" t="s">
        <v>6</v>
      </c>
      <c r="F294" s="32" t="s">
        <v>248</v>
      </c>
      <c r="G294" s="32" t="s">
        <v>249</v>
      </c>
      <c r="H294" s="32" t="s">
        <v>97</v>
      </c>
      <c r="I294" s="35" t="s">
        <v>241</v>
      </c>
      <c r="J294" s="32" t="s">
        <v>93</v>
      </c>
      <c r="K294" s="32">
        <v>1</v>
      </c>
      <c r="L294" s="33"/>
      <c r="O294" s="32">
        <v>17</v>
      </c>
      <c r="P294" s="32">
        <v>2.8</v>
      </c>
      <c r="Q294" s="32" t="s">
        <v>94</v>
      </c>
      <c r="T294" s="32" t="s">
        <v>331</v>
      </c>
      <c r="U294" s="32" t="s">
        <v>332</v>
      </c>
      <c r="V294" s="32">
        <v>80</v>
      </c>
      <c r="W294" s="32" t="s">
        <v>89</v>
      </c>
      <c r="X294" s="32" t="str">
        <f t="shared" si="13"/>
        <v>Printed Transparent Stcker 17X2.8 CM</v>
      </c>
      <c r="Y294" s="33" t="s">
        <v>487</v>
      </c>
      <c r="Z294" s="32" t="str">
        <f t="shared" si="14"/>
        <v>Transparent Stcker 17x2.8 CM Pollar Cutting  80 TRANSPARENT STICKER</v>
      </c>
      <c r="AA294" s="32" t="str">
        <f t="shared" si="15"/>
        <v>Printed  Round Sticker  2.5X2.5 CM</v>
      </c>
      <c r="AB294" s="32" t="s">
        <v>965</v>
      </c>
    </row>
    <row r="295" spans="2:28" x14ac:dyDescent="0.25">
      <c r="B295" s="31" t="s">
        <v>6</v>
      </c>
      <c r="D295" s="32">
        <v>2003</v>
      </c>
      <c r="E295" s="31" t="s">
        <v>6</v>
      </c>
      <c r="F295" s="32" t="s">
        <v>248</v>
      </c>
      <c r="G295" s="32" t="s">
        <v>249</v>
      </c>
      <c r="H295" s="32" t="s">
        <v>97</v>
      </c>
      <c r="I295" s="31" t="s">
        <v>147</v>
      </c>
      <c r="J295" s="32" t="s">
        <v>93</v>
      </c>
      <c r="K295" s="32">
        <v>1</v>
      </c>
      <c r="L295" s="33"/>
      <c r="O295" s="32">
        <v>5</v>
      </c>
      <c r="P295" s="32">
        <v>4</v>
      </c>
      <c r="Q295" s="32" t="s">
        <v>94</v>
      </c>
      <c r="T295" s="32" t="s">
        <v>331</v>
      </c>
      <c r="U295" s="32" t="s">
        <v>337</v>
      </c>
      <c r="V295" s="32">
        <v>80</v>
      </c>
      <c r="W295" s="32" t="s">
        <v>89</v>
      </c>
      <c r="X295" s="32" t="str">
        <f t="shared" si="13"/>
        <v>Printed Barcode Sticker 5X4 CM</v>
      </c>
      <c r="Y295" s="33" t="s">
        <v>228</v>
      </c>
      <c r="Z295" s="32" t="str">
        <f t="shared" si="14"/>
        <v>Barcode Sticker 5x4 CM Pollar Cutting  80 Glossy sticker</v>
      </c>
      <c r="AA295" s="32" t="str">
        <f t="shared" si="15"/>
        <v>Printed  Barcode Sticker  6.7X3.2 CM</v>
      </c>
      <c r="AB295" s="32" t="s">
        <v>966</v>
      </c>
    </row>
    <row r="296" spans="2:28" x14ac:dyDescent="0.25">
      <c r="B296" s="31" t="s">
        <v>6</v>
      </c>
      <c r="D296" s="32">
        <v>2003</v>
      </c>
      <c r="E296" s="31" t="s">
        <v>6</v>
      </c>
      <c r="F296" s="32" t="s">
        <v>248</v>
      </c>
      <c r="G296" s="32" t="s">
        <v>249</v>
      </c>
      <c r="H296" s="32" t="s">
        <v>97</v>
      </c>
      <c r="I296" s="35" t="s">
        <v>102</v>
      </c>
      <c r="J296" s="32" t="s">
        <v>93</v>
      </c>
      <c r="K296" s="32">
        <v>1</v>
      </c>
      <c r="L296" s="33"/>
      <c r="O296" s="32">
        <v>6</v>
      </c>
      <c r="P296" s="32">
        <v>6</v>
      </c>
      <c r="Q296" s="32" t="s">
        <v>94</v>
      </c>
      <c r="T296" s="32" t="s">
        <v>331</v>
      </c>
      <c r="U296" s="32" t="s">
        <v>332</v>
      </c>
      <c r="V296" s="32">
        <v>80</v>
      </c>
      <c r="W296" s="32" t="s">
        <v>89</v>
      </c>
      <c r="X296" s="32" t="str">
        <f t="shared" si="13"/>
        <v>Printed Sticker 6X6 CM</v>
      </c>
      <c r="Y296" s="33" t="s">
        <v>488</v>
      </c>
      <c r="Z296" s="32" t="str">
        <f t="shared" si="14"/>
        <v>Sticker 6x6 CM Pollar Cutting  80 TRANSPARENT STICKER</v>
      </c>
      <c r="AA296" s="32" t="str">
        <f t="shared" si="15"/>
        <v>Printed  Sticker 9X7 CM</v>
      </c>
      <c r="AB296" s="32" t="s">
        <v>967</v>
      </c>
    </row>
    <row r="297" spans="2:28" x14ac:dyDescent="0.25">
      <c r="B297" s="31" t="s">
        <v>6</v>
      </c>
      <c r="D297" s="32">
        <v>2003</v>
      </c>
      <c r="E297" s="31" t="s">
        <v>6</v>
      </c>
      <c r="F297" s="32" t="s">
        <v>248</v>
      </c>
      <c r="G297" s="32" t="s">
        <v>249</v>
      </c>
      <c r="H297" s="32" t="s">
        <v>97</v>
      </c>
      <c r="I297" s="31" t="s">
        <v>102</v>
      </c>
      <c r="J297" s="32" t="s">
        <v>93</v>
      </c>
      <c r="K297" s="32">
        <v>2</v>
      </c>
      <c r="L297" s="33"/>
      <c r="O297" s="32">
        <v>4.5</v>
      </c>
      <c r="P297" s="32">
        <v>3</v>
      </c>
      <c r="Q297" s="32" t="s">
        <v>94</v>
      </c>
      <c r="T297" s="32" t="s">
        <v>331</v>
      </c>
      <c r="U297" s="32" t="s">
        <v>337</v>
      </c>
      <c r="V297" s="32">
        <v>80</v>
      </c>
      <c r="W297" s="32" t="s">
        <v>89</v>
      </c>
      <c r="X297" s="32" t="str">
        <f t="shared" si="13"/>
        <v>Printed Sticker 4.5X3 CM</v>
      </c>
      <c r="Y297" s="33" t="s">
        <v>229</v>
      </c>
      <c r="Z297" s="32" t="str">
        <f t="shared" si="14"/>
        <v>Sticker 4.5x3 CM Pollar Cutting  80 Glossy sticker</v>
      </c>
      <c r="AA297" s="32" t="str">
        <f t="shared" si="15"/>
        <v>Printed  Shipping Mark  21X15 CM</v>
      </c>
      <c r="AB297" s="32" t="s">
        <v>968</v>
      </c>
    </row>
    <row r="298" spans="2:28" x14ac:dyDescent="0.25">
      <c r="B298" s="31" t="s">
        <v>6</v>
      </c>
      <c r="D298" s="32">
        <v>2003</v>
      </c>
      <c r="E298" s="31" t="s">
        <v>6</v>
      </c>
      <c r="F298" s="32" t="s">
        <v>248</v>
      </c>
      <c r="G298" s="32" t="s">
        <v>249</v>
      </c>
      <c r="H298" s="32" t="s">
        <v>97</v>
      </c>
      <c r="I298" s="31" t="s">
        <v>147</v>
      </c>
      <c r="J298" s="32" t="s">
        <v>93</v>
      </c>
      <c r="K298" s="32">
        <v>1</v>
      </c>
      <c r="L298" s="33"/>
      <c r="O298" s="32">
        <v>3.2</v>
      </c>
      <c r="P298" s="32">
        <v>2.4</v>
      </c>
      <c r="Q298" s="32" t="s">
        <v>94</v>
      </c>
      <c r="T298" s="32" t="s">
        <v>156</v>
      </c>
      <c r="U298" s="32" t="s">
        <v>339</v>
      </c>
      <c r="V298" s="32">
        <v>80</v>
      </c>
      <c r="W298" s="32" t="s">
        <v>89</v>
      </c>
      <c r="X298" s="32" t="str">
        <f t="shared" si="13"/>
        <v>Printed Barcode Sticker 3.2X2.4 CM</v>
      </c>
      <c r="Y298" s="33" t="s">
        <v>489</v>
      </c>
      <c r="Z298" s="32" t="str">
        <f t="shared" si="14"/>
        <v>Barcode Sticker 3.2x2.4 CM Die Cutting  80 OFFSET Sticker</v>
      </c>
      <c r="AA298" s="32" t="str">
        <f t="shared" si="15"/>
        <v>Printed  Sticker  4X4 CM</v>
      </c>
      <c r="AB298" s="32" t="s">
        <v>969</v>
      </c>
    </row>
    <row r="299" spans="2:28" x14ac:dyDescent="0.25">
      <c r="B299" s="31" t="s">
        <v>6</v>
      </c>
      <c r="D299" s="32">
        <v>2003</v>
      </c>
      <c r="E299" s="31" t="s">
        <v>6</v>
      </c>
      <c r="F299" s="32" t="s">
        <v>248</v>
      </c>
      <c r="G299" s="32" t="s">
        <v>249</v>
      </c>
      <c r="H299" s="32" t="s">
        <v>97</v>
      </c>
      <c r="I299" s="31" t="s">
        <v>137</v>
      </c>
      <c r="J299" s="32" t="s">
        <v>93</v>
      </c>
      <c r="K299" s="32">
        <v>2</v>
      </c>
      <c r="L299" s="33"/>
      <c r="O299" s="32">
        <v>10.5</v>
      </c>
      <c r="P299" s="32">
        <v>2.6</v>
      </c>
      <c r="Q299" s="32" t="s">
        <v>94</v>
      </c>
      <c r="T299" s="32" t="s">
        <v>331</v>
      </c>
      <c r="U299" s="32" t="s">
        <v>337</v>
      </c>
      <c r="V299" s="32">
        <v>80</v>
      </c>
      <c r="W299" s="32" t="s">
        <v>89</v>
      </c>
      <c r="X299" s="32" t="str">
        <f t="shared" si="13"/>
        <v>Printed Carton Sticker  10.5X2.6 CM</v>
      </c>
      <c r="Y299" s="33" t="s">
        <v>490</v>
      </c>
      <c r="Z299" s="32" t="str">
        <f t="shared" si="14"/>
        <v>Carton Sticker  10.5x2.6 CM Pollar Cutting  80 Glossy sticker</v>
      </c>
      <c r="AA299" s="32" t="str">
        <f t="shared" si="15"/>
        <v>Printed  Set Barcode  4.5X4.5 CM</v>
      </c>
      <c r="AB299" s="32" t="s">
        <v>970</v>
      </c>
    </row>
    <row r="300" spans="2:28" x14ac:dyDescent="0.25">
      <c r="B300" s="31" t="s">
        <v>6</v>
      </c>
      <c r="D300" s="32">
        <v>2003</v>
      </c>
      <c r="E300" s="31" t="s">
        <v>6</v>
      </c>
      <c r="F300" s="32" t="s">
        <v>248</v>
      </c>
      <c r="G300" s="32" t="s">
        <v>249</v>
      </c>
      <c r="H300" s="32" t="s">
        <v>97</v>
      </c>
      <c r="I300" s="31" t="s">
        <v>147</v>
      </c>
      <c r="J300" s="32" t="s">
        <v>93</v>
      </c>
      <c r="K300" s="32">
        <v>1</v>
      </c>
      <c r="L300" s="33"/>
      <c r="O300" s="32">
        <v>3.2</v>
      </c>
      <c r="P300" s="32">
        <v>4.2</v>
      </c>
      <c r="Q300" s="32" t="s">
        <v>94</v>
      </c>
      <c r="T300" s="32" t="s">
        <v>156</v>
      </c>
      <c r="U300" s="32" t="s">
        <v>339</v>
      </c>
      <c r="V300" s="32">
        <v>80</v>
      </c>
      <c r="W300" s="32" t="s">
        <v>89</v>
      </c>
      <c r="X300" s="32" t="str">
        <f t="shared" si="13"/>
        <v>Printed Barcode Sticker 3.2X4.2 CM</v>
      </c>
      <c r="Y300" s="33" t="s">
        <v>491</v>
      </c>
      <c r="Z300" s="32" t="str">
        <f t="shared" si="14"/>
        <v>Barcode Sticker 3.2x4.2 CM Die Cutting  80 OFFSET Sticker</v>
      </c>
      <c r="AA300" s="32" t="str">
        <f t="shared" si="15"/>
        <v>Printed  Set Barcode  5X5 CM</v>
      </c>
      <c r="AB300" s="32" t="s">
        <v>971</v>
      </c>
    </row>
    <row r="301" spans="2:28" x14ac:dyDescent="0.25">
      <c r="B301" s="31" t="s">
        <v>6</v>
      </c>
      <c r="D301" s="32">
        <v>2003</v>
      </c>
      <c r="E301" s="31" t="s">
        <v>6</v>
      </c>
      <c r="F301" s="32" t="s">
        <v>248</v>
      </c>
      <c r="G301" s="32" t="s">
        <v>249</v>
      </c>
      <c r="H301" s="32" t="s">
        <v>97</v>
      </c>
      <c r="I301" s="33" t="s">
        <v>102</v>
      </c>
      <c r="J301" s="32" t="s">
        <v>93</v>
      </c>
      <c r="K301" s="32">
        <v>3</v>
      </c>
      <c r="L301" s="33"/>
      <c r="O301" s="32">
        <v>1.2</v>
      </c>
      <c r="P301" s="32">
        <v>1</v>
      </c>
      <c r="Q301" s="32" t="s">
        <v>94</v>
      </c>
      <c r="T301" s="32" t="s">
        <v>156</v>
      </c>
      <c r="U301" s="32" t="s">
        <v>337</v>
      </c>
      <c r="V301" s="32">
        <v>80</v>
      </c>
      <c r="W301" s="32" t="s">
        <v>89</v>
      </c>
      <c r="X301" s="32" t="str">
        <f t="shared" si="13"/>
        <v>Printed Sticker 1.2X1 CM</v>
      </c>
      <c r="Y301" s="33" t="s">
        <v>492</v>
      </c>
      <c r="Z301" s="32" t="str">
        <f t="shared" si="14"/>
        <v>Sticker 1.2x1 CM Die Cutting  80 Glossy sticker</v>
      </c>
      <c r="AA301" s="32" t="str">
        <f t="shared" si="15"/>
        <v>Non Printed  Round Sticker  16X12 CM</v>
      </c>
      <c r="AB301" s="32" t="s">
        <v>972</v>
      </c>
    </row>
    <row r="302" spans="2:28" x14ac:dyDescent="0.25">
      <c r="B302" s="31" t="s">
        <v>6</v>
      </c>
      <c r="D302" s="32">
        <v>2003</v>
      </c>
      <c r="E302" s="31" t="s">
        <v>6</v>
      </c>
      <c r="F302" s="32" t="s">
        <v>248</v>
      </c>
      <c r="G302" s="32" t="s">
        <v>249</v>
      </c>
      <c r="H302" s="32" t="s">
        <v>97</v>
      </c>
      <c r="I302" s="33" t="s">
        <v>656</v>
      </c>
      <c r="J302" s="32" t="s">
        <v>93</v>
      </c>
      <c r="K302" s="32">
        <v>1</v>
      </c>
      <c r="L302" s="33"/>
      <c r="O302" s="32">
        <v>2.5</v>
      </c>
      <c r="P302" s="32">
        <v>2.5</v>
      </c>
      <c r="Q302" s="32" t="s">
        <v>94</v>
      </c>
      <c r="T302" s="32" t="s">
        <v>156</v>
      </c>
      <c r="U302" s="32" t="s">
        <v>337</v>
      </c>
      <c r="V302" s="32">
        <v>80</v>
      </c>
      <c r="W302" s="32" t="s">
        <v>89</v>
      </c>
      <c r="X302" s="32" t="str">
        <f t="shared" si="13"/>
        <v>Printed Round Sticker  2.5X2.5 CM</v>
      </c>
      <c r="Y302" s="33" t="s">
        <v>493</v>
      </c>
      <c r="Z302" s="32" t="str">
        <f t="shared" si="14"/>
        <v>Round Sticker  2.5x2.5 CM Die Cutting  80 Glossy sticker</v>
      </c>
      <c r="AA302" s="32" t="str">
        <f t="shared" si="15"/>
        <v>Printed  Sticker 5X4 CM</v>
      </c>
      <c r="AB302" s="32" t="s">
        <v>973</v>
      </c>
    </row>
    <row r="303" spans="2:28" x14ac:dyDescent="0.25">
      <c r="B303" s="31" t="s">
        <v>6</v>
      </c>
      <c r="D303" s="32">
        <v>2003</v>
      </c>
      <c r="E303" s="31" t="s">
        <v>6</v>
      </c>
      <c r="F303" s="32" t="s">
        <v>248</v>
      </c>
      <c r="G303" s="32" t="s">
        <v>249</v>
      </c>
      <c r="H303" s="32" t="s">
        <v>97</v>
      </c>
      <c r="I303" s="33" t="s">
        <v>340</v>
      </c>
      <c r="J303" s="32" t="s">
        <v>93</v>
      </c>
      <c r="K303" s="32">
        <v>1</v>
      </c>
      <c r="L303" s="33"/>
      <c r="O303" s="32">
        <v>6.7</v>
      </c>
      <c r="P303" s="32">
        <v>3.2</v>
      </c>
      <c r="Q303" s="32" t="s">
        <v>94</v>
      </c>
      <c r="T303" s="32" t="s">
        <v>156</v>
      </c>
      <c r="U303" s="32" t="s">
        <v>337</v>
      </c>
      <c r="V303" s="32">
        <v>80</v>
      </c>
      <c r="W303" s="32" t="s">
        <v>89</v>
      </c>
      <c r="X303" s="32" t="str">
        <f t="shared" si="13"/>
        <v>Printed Barcode Sticker  6.7X3.2 CM</v>
      </c>
      <c r="Y303" s="33" t="s">
        <v>494</v>
      </c>
      <c r="Z303" s="32" t="str">
        <f t="shared" si="14"/>
        <v>Barcode Sticker  6.7x3.2 CM Die Cutting  80 Glossy sticker</v>
      </c>
      <c r="AA303" s="32" t="str">
        <f t="shared" si="15"/>
        <v>Printed  Carton Sticker  10X7.5 CM</v>
      </c>
      <c r="AB303" s="32" t="s">
        <v>974</v>
      </c>
    </row>
    <row r="304" spans="2:28" x14ac:dyDescent="0.25">
      <c r="B304" s="31" t="s">
        <v>6</v>
      </c>
      <c r="D304" s="32">
        <v>2003</v>
      </c>
      <c r="E304" s="31" t="s">
        <v>6</v>
      </c>
      <c r="F304" s="32" t="s">
        <v>248</v>
      </c>
      <c r="G304" s="32" t="s">
        <v>249</v>
      </c>
      <c r="H304" s="32" t="s">
        <v>97</v>
      </c>
      <c r="I304" s="33" t="s">
        <v>102</v>
      </c>
      <c r="J304" s="32" t="s">
        <v>93</v>
      </c>
      <c r="K304" s="32">
        <v>4</v>
      </c>
      <c r="L304" s="33"/>
      <c r="O304" s="32">
        <v>9</v>
      </c>
      <c r="P304" s="32">
        <v>7</v>
      </c>
      <c r="Q304" s="32" t="s">
        <v>94</v>
      </c>
      <c r="T304" s="32" t="s">
        <v>156</v>
      </c>
      <c r="U304" s="32" t="s">
        <v>337</v>
      </c>
      <c r="V304" s="32">
        <v>80</v>
      </c>
      <c r="W304" s="32" t="s">
        <v>89</v>
      </c>
      <c r="X304" s="32" t="str">
        <f t="shared" si="13"/>
        <v>Printed Sticker 9X7 CM</v>
      </c>
      <c r="Y304" s="33" t="s">
        <v>495</v>
      </c>
      <c r="Z304" s="32" t="str">
        <f t="shared" si="14"/>
        <v>Sticker 9x7 CM Die Cutting  80 Glossy sticker</v>
      </c>
      <c r="AA304" s="32" t="str">
        <f t="shared" si="15"/>
        <v>Printed  Barcode Sticker 4.1X3.5 CM</v>
      </c>
      <c r="AB304" s="32" t="s">
        <v>975</v>
      </c>
    </row>
    <row r="305" spans="2:28" x14ac:dyDescent="0.25">
      <c r="B305" s="31" t="s">
        <v>6</v>
      </c>
      <c r="D305" s="32">
        <v>2003</v>
      </c>
      <c r="E305" s="31" t="s">
        <v>6</v>
      </c>
      <c r="F305" s="32" t="s">
        <v>248</v>
      </c>
      <c r="G305" s="32" t="s">
        <v>249</v>
      </c>
      <c r="H305" s="32" t="s">
        <v>97</v>
      </c>
      <c r="I305" s="31" t="s">
        <v>211</v>
      </c>
      <c r="J305" s="32" t="s">
        <v>93</v>
      </c>
      <c r="K305" s="32">
        <v>1</v>
      </c>
      <c r="L305" s="33"/>
      <c r="O305" s="32">
        <v>21</v>
      </c>
      <c r="P305" s="32">
        <v>15</v>
      </c>
      <c r="Q305" s="32" t="s">
        <v>94</v>
      </c>
      <c r="T305" s="32" t="s">
        <v>331</v>
      </c>
      <c r="U305" s="32" t="s">
        <v>337</v>
      </c>
      <c r="V305" s="32">
        <v>80</v>
      </c>
      <c r="W305" s="32" t="s">
        <v>89</v>
      </c>
      <c r="X305" s="32" t="str">
        <f t="shared" si="13"/>
        <v>Printed Shipping Mark  21X15 CM</v>
      </c>
      <c r="Y305" s="33" t="s">
        <v>496</v>
      </c>
      <c r="Z305" s="32" t="str">
        <f t="shared" si="14"/>
        <v>Shipping Mark  21x15 CM Pollar Cutting  80 Glossy sticker</v>
      </c>
      <c r="AA305" s="32" t="str">
        <f t="shared" si="15"/>
        <v>Printed  Sticker  7X5 CM</v>
      </c>
      <c r="AB305" s="32" t="s">
        <v>976</v>
      </c>
    </row>
    <row r="306" spans="2:28" x14ac:dyDescent="0.25">
      <c r="B306" s="31" t="s">
        <v>6</v>
      </c>
      <c r="D306" s="32">
        <v>2003</v>
      </c>
      <c r="E306" s="31" t="s">
        <v>6</v>
      </c>
      <c r="F306" s="32" t="s">
        <v>248</v>
      </c>
      <c r="G306" s="32" t="s">
        <v>249</v>
      </c>
      <c r="H306" s="32" t="s">
        <v>97</v>
      </c>
      <c r="I306" s="33" t="s">
        <v>648</v>
      </c>
      <c r="J306" s="32" t="s">
        <v>93</v>
      </c>
      <c r="K306" s="32">
        <v>2</v>
      </c>
      <c r="L306" s="33"/>
      <c r="O306" s="32">
        <v>4</v>
      </c>
      <c r="P306" s="32">
        <v>4</v>
      </c>
      <c r="Q306" s="32" t="s">
        <v>94</v>
      </c>
      <c r="T306" s="32" t="s">
        <v>331</v>
      </c>
      <c r="U306" s="32" t="s">
        <v>339</v>
      </c>
      <c r="V306" s="32">
        <v>80</v>
      </c>
      <c r="W306" s="32" t="s">
        <v>89</v>
      </c>
      <c r="X306" s="32" t="str">
        <f t="shared" si="13"/>
        <v>Printed Sticker  4X4 CM</v>
      </c>
      <c r="Y306" s="33" t="s">
        <v>231</v>
      </c>
      <c r="Z306" s="32" t="str">
        <f t="shared" si="14"/>
        <v>Sticker  4x4 CM Pollar Cutting  80 OFFSET Sticker</v>
      </c>
      <c r="AA306" s="32" t="str">
        <f t="shared" si="15"/>
        <v>Printed  Sticker  10X10 CM</v>
      </c>
      <c r="AB306" s="32" t="s">
        <v>977</v>
      </c>
    </row>
    <row r="307" spans="2:28" x14ac:dyDescent="0.25">
      <c r="B307" s="31" t="s">
        <v>6</v>
      </c>
      <c r="D307" s="32">
        <v>2003</v>
      </c>
      <c r="E307" s="31" t="s">
        <v>6</v>
      </c>
      <c r="F307" s="32" t="s">
        <v>248</v>
      </c>
      <c r="G307" s="32" t="s">
        <v>249</v>
      </c>
      <c r="H307" s="32" t="s">
        <v>97</v>
      </c>
      <c r="I307" s="33" t="s">
        <v>341</v>
      </c>
      <c r="J307" s="32" t="s">
        <v>93</v>
      </c>
      <c r="K307" s="32">
        <v>1</v>
      </c>
      <c r="L307" s="33"/>
      <c r="O307" s="32">
        <v>4.5</v>
      </c>
      <c r="P307" s="32">
        <v>4.5</v>
      </c>
      <c r="Q307" s="32" t="s">
        <v>94</v>
      </c>
      <c r="T307" s="32" t="s">
        <v>331</v>
      </c>
      <c r="U307" s="32" t="s">
        <v>337</v>
      </c>
      <c r="V307" s="32">
        <v>80</v>
      </c>
      <c r="W307" s="32" t="s">
        <v>89</v>
      </c>
      <c r="X307" s="32" t="str">
        <f t="shared" si="13"/>
        <v>Printed Set Barcode  4.5X4.5 CM</v>
      </c>
      <c r="Y307" s="33" t="s">
        <v>182</v>
      </c>
      <c r="Z307" s="32" t="str">
        <f t="shared" si="14"/>
        <v>Set Barcode  4.5x4.5 CM Pollar Cutting  80 Glossy sticker</v>
      </c>
      <c r="AA307" s="32" t="str">
        <f t="shared" si="15"/>
        <v>Printed  Carton Sticker  35X5 CM</v>
      </c>
      <c r="AB307" s="32" t="s">
        <v>978</v>
      </c>
    </row>
    <row r="308" spans="2:28" x14ac:dyDescent="0.25">
      <c r="B308" s="31" t="s">
        <v>6</v>
      </c>
      <c r="D308" s="32">
        <v>2003</v>
      </c>
      <c r="E308" s="31" t="s">
        <v>6</v>
      </c>
      <c r="F308" s="32" t="s">
        <v>248</v>
      </c>
      <c r="G308" s="32" t="s">
        <v>249</v>
      </c>
      <c r="H308" s="32" t="s">
        <v>97</v>
      </c>
      <c r="I308" s="33" t="s">
        <v>341</v>
      </c>
      <c r="J308" s="32" t="s">
        <v>93</v>
      </c>
      <c r="K308" s="32">
        <v>1</v>
      </c>
      <c r="L308" s="33"/>
      <c r="O308" s="32">
        <v>5</v>
      </c>
      <c r="P308" s="32">
        <v>5</v>
      </c>
      <c r="Q308" s="32" t="s">
        <v>94</v>
      </c>
      <c r="T308" s="32" t="s">
        <v>331</v>
      </c>
      <c r="U308" s="32" t="s">
        <v>337</v>
      </c>
      <c r="V308" s="32">
        <v>80</v>
      </c>
      <c r="W308" s="32" t="s">
        <v>89</v>
      </c>
      <c r="X308" s="32" t="str">
        <f t="shared" ref="X308:X369" si="16">CONCATENATE(J308," ",I308," ",O308,"X",P308," ",Q308)</f>
        <v>Printed Set Barcode  5X5 CM</v>
      </c>
      <c r="Y308" s="33" t="s">
        <v>497</v>
      </c>
      <c r="Z308" s="32" t="str">
        <f t="shared" si="14"/>
        <v>Set Barcode  5x5 CM Pollar Cutting  80 Glossy sticker</v>
      </c>
      <c r="AA308" s="32" t="str">
        <f t="shared" si="15"/>
        <v>Printed  Shipping Mark  20X14 CM</v>
      </c>
      <c r="AB308" s="32" t="s">
        <v>979</v>
      </c>
    </row>
    <row r="309" spans="2:28" x14ac:dyDescent="0.25">
      <c r="B309" s="31" t="s">
        <v>6</v>
      </c>
      <c r="D309" s="32">
        <v>2003</v>
      </c>
      <c r="E309" s="31" t="s">
        <v>6</v>
      </c>
      <c r="F309" s="32" t="s">
        <v>248</v>
      </c>
      <c r="G309" s="32" t="s">
        <v>249</v>
      </c>
      <c r="H309" s="32" t="s">
        <v>97</v>
      </c>
      <c r="I309" s="31" t="s">
        <v>656</v>
      </c>
      <c r="J309" s="32" t="s">
        <v>238</v>
      </c>
      <c r="K309" s="32"/>
      <c r="L309" s="33"/>
      <c r="O309" s="32">
        <v>16</v>
      </c>
      <c r="P309" s="32">
        <v>12</v>
      </c>
      <c r="Q309" s="32" t="s">
        <v>94</v>
      </c>
      <c r="T309" s="32" t="s">
        <v>331</v>
      </c>
      <c r="U309" s="32" t="s">
        <v>332</v>
      </c>
      <c r="V309" s="32">
        <v>80</v>
      </c>
      <c r="W309" s="32" t="s">
        <v>89</v>
      </c>
      <c r="X309" s="32" t="str">
        <f t="shared" si="16"/>
        <v>Non Printed Round Sticker  16X12 CM</v>
      </c>
      <c r="Y309" s="33" t="s">
        <v>498</v>
      </c>
      <c r="Z309" s="32" t="str">
        <f t="shared" si="14"/>
        <v>Round Sticker  16x12 CM Pollar Cutting  80 TRANSPARENT STICKER</v>
      </c>
      <c r="AA309" s="32" t="str">
        <f t="shared" si="15"/>
        <v>Printed  Sticker 18X8 CM</v>
      </c>
      <c r="AB309" s="32" t="s">
        <v>980</v>
      </c>
    </row>
    <row r="310" spans="2:28" x14ac:dyDescent="0.25">
      <c r="B310" s="31" t="s">
        <v>6</v>
      </c>
      <c r="D310" s="32">
        <v>2003</v>
      </c>
      <c r="E310" s="31" t="s">
        <v>6</v>
      </c>
      <c r="F310" s="32" t="s">
        <v>248</v>
      </c>
      <c r="G310" s="32" t="s">
        <v>249</v>
      </c>
      <c r="H310" s="32" t="s">
        <v>97</v>
      </c>
      <c r="I310" s="31" t="s">
        <v>102</v>
      </c>
      <c r="J310" s="32" t="s">
        <v>93</v>
      </c>
      <c r="K310" s="32">
        <v>2</v>
      </c>
      <c r="L310" s="33"/>
      <c r="O310" s="32">
        <v>5</v>
      </c>
      <c r="P310" s="32">
        <v>4</v>
      </c>
      <c r="Q310" s="32" t="s">
        <v>94</v>
      </c>
      <c r="T310" s="32" t="s">
        <v>331</v>
      </c>
      <c r="U310" s="32" t="s">
        <v>337</v>
      </c>
      <c r="V310" s="32">
        <v>80</v>
      </c>
      <c r="W310" s="32" t="s">
        <v>89</v>
      </c>
      <c r="X310" s="32" t="str">
        <f t="shared" si="16"/>
        <v>Printed Sticker 5X4 CM</v>
      </c>
      <c r="Y310" s="33" t="s">
        <v>499</v>
      </c>
      <c r="Z310" s="32" t="str">
        <f t="shared" si="14"/>
        <v>Sticker 5x4 CM Pollar Cutting  80 Glossy sticker</v>
      </c>
      <c r="AA310" s="32" t="str">
        <f t="shared" si="15"/>
        <v>Printed  Shipping Mark  11.9X9 CM</v>
      </c>
      <c r="AB310" s="32" t="s">
        <v>981</v>
      </c>
    </row>
    <row r="311" spans="2:28" x14ac:dyDescent="0.25">
      <c r="B311" s="31" t="s">
        <v>6</v>
      </c>
      <c r="D311" s="32">
        <v>2003</v>
      </c>
      <c r="E311" s="31" t="s">
        <v>6</v>
      </c>
      <c r="F311" s="32" t="s">
        <v>248</v>
      </c>
      <c r="G311" s="32" t="s">
        <v>249</v>
      </c>
      <c r="H311" s="32" t="s">
        <v>97</v>
      </c>
      <c r="I311" s="31" t="s">
        <v>137</v>
      </c>
      <c r="J311" s="32" t="s">
        <v>93</v>
      </c>
      <c r="K311" s="32">
        <v>5</v>
      </c>
      <c r="L311" s="33"/>
      <c r="O311" s="32">
        <v>10</v>
      </c>
      <c r="P311" s="32">
        <v>7.5</v>
      </c>
      <c r="Q311" s="32" t="s">
        <v>94</v>
      </c>
      <c r="T311" s="32" t="s">
        <v>331</v>
      </c>
      <c r="U311" s="32" t="s">
        <v>337</v>
      </c>
      <c r="V311" s="32">
        <v>80</v>
      </c>
      <c r="W311" s="32" t="s">
        <v>89</v>
      </c>
      <c r="X311" s="32" t="str">
        <f t="shared" si="16"/>
        <v>Printed Carton Sticker  10X7.5 CM</v>
      </c>
      <c r="Y311" s="33" t="s">
        <v>500</v>
      </c>
      <c r="Z311" s="32" t="str">
        <f t="shared" si="14"/>
        <v>Carton Sticker  10x7.5 CM Pollar Cutting  80 Glossy sticker</v>
      </c>
      <c r="AA311" s="32" t="str">
        <f t="shared" si="15"/>
        <v>Printed  Carton Sticker  10X CM</v>
      </c>
      <c r="AB311" s="32" t="s">
        <v>982</v>
      </c>
    </row>
    <row r="312" spans="2:28" x14ac:dyDescent="0.25">
      <c r="B312" s="31" t="s">
        <v>6</v>
      </c>
      <c r="D312" s="32">
        <v>2003</v>
      </c>
      <c r="E312" s="31" t="s">
        <v>6</v>
      </c>
      <c r="F312" s="32" t="s">
        <v>248</v>
      </c>
      <c r="G312" s="32" t="s">
        <v>249</v>
      </c>
      <c r="H312" s="32" t="s">
        <v>97</v>
      </c>
      <c r="I312" s="31" t="s">
        <v>147</v>
      </c>
      <c r="J312" s="32" t="s">
        <v>93</v>
      </c>
      <c r="K312" s="32">
        <v>1</v>
      </c>
      <c r="L312" s="33"/>
      <c r="O312" s="32">
        <v>4.0999999999999996</v>
      </c>
      <c r="P312" s="32">
        <v>3.5</v>
      </c>
      <c r="Q312" s="32" t="s">
        <v>94</v>
      </c>
      <c r="T312" s="32" t="s">
        <v>331</v>
      </c>
      <c r="U312" s="32" t="s">
        <v>337</v>
      </c>
      <c r="V312" s="32">
        <v>80</v>
      </c>
      <c r="W312" s="32" t="s">
        <v>89</v>
      </c>
      <c r="X312" s="32" t="str">
        <f t="shared" si="16"/>
        <v>Printed Barcode Sticker 4.1X3.5 CM</v>
      </c>
      <c r="Y312" s="33" t="s">
        <v>501</v>
      </c>
      <c r="Z312" s="32" t="str">
        <f t="shared" si="14"/>
        <v>Barcode Sticker 4.1x3.5 CM Pollar Cutting  80 Glossy sticker</v>
      </c>
      <c r="AA312" s="32" t="str">
        <f t="shared" si="15"/>
        <v>Printed  Set Barcode  8X3 CM</v>
      </c>
      <c r="AB312" s="32" t="s">
        <v>983</v>
      </c>
    </row>
    <row r="313" spans="2:28" x14ac:dyDescent="0.25">
      <c r="B313" s="31" t="s">
        <v>6</v>
      </c>
      <c r="D313" s="32">
        <v>2003</v>
      </c>
      <c r="E313" s="31" t="s">
        <v>6</v>
      </c>
      <c r="F313" s="32" t="s">
        <v>248</v>
      </c>
      <c r="G313" s="32" t="s">
        <v>249</v>
      </c>
      <c r="H313" s="32" t="s">
        <v>97</v>
      </c>
      <c r="I313" s="31" t="s">
        <v>648</v>
      </c>
      <c r="J313" s="32" t="s">
        <v>93</v>
      </c>
      <c r="K313" s="32">
        <v>1</v>
      </c>
      <c r="L313" s="33"/>
      <c r="O313" s="32">
        <v>7</v>
      </c>
      <c r="P313" s="32">
        <v>5</v>
      </c>
      <c r="Q313" s="32" t="s">
        <v>94</v>
      </c>
      <c r="T313" s="32" t="s">
        <v>331</v>
      </c>
      <c r="U313" s="32" t="s">
        <v>337</v>
      </c>
      <c r="V313" s="32">
        <v>80</v>
      </c>
      <c r="W313" s="32" t="s">
        <v>89</v>
      </c>
      <c r="X313" s="32" t="str">
        <f t="shared" si="16"/>
        <v>Printed Sticker  7X5 CM</v>
      </c>
      <c r="Y313" s="33" t="s">
        <v>215</v>
      </c>
      <c r="Z313" s="32" t="str">
        <f t="shared" si="14"/>
        <v>Sticker  7x5 CM Pollar Cutting  80 Glossy sticker</v>
      </c>
      <c r="AA313" s="32" t="str">
        <f t="shared" si="15"/>
        <v>Printed  Set Barcode  5X4 CM</v>
      </c>
      <c r="AB313" s="32" t="s">
        <v>750</v>
      </c>
    </row>
    <row r="314" spans="2:28" x14ac:dyDescent="0.25">
      <c r="B314" s="31" t="s">
        <v>6</v>
      </c>
      <c r="D314" s="32">
        <v>2003</v>
      </c>
      <c r="E314" s="31" t="s">
        <v>6</v>
      </c>
      <c r="F314" s="32" t="s">
        <v>248</v>
      </c>
      <c r="G314" s="32" t="s">
        <v>249</v>
      </c>
      <c r="H314" s="32" t="s">
        <v>97</v>
      </c>
      <c r="I314" s="31" t="s">
        <v>648</v>
      </c>
      <c r="J314" s="32" t="s">
        <v>93</v>
      </c>
      <c r="K314" s="32">
        <v>1</v>
      </c>
      <c r="L314" s="33"/>
      <c r="O314" s="32">
        <v>10</v>
      </c>
      <c r="P314" s="32">
        <v>10</v>
      </c>
      <c r="Q314" s="32" t="s">
        <v>94</v>
      </c>
      <c r="T314" s="32" t="s">
        <v>331</v>
      </c>
      <c r="U314" s="32" t="s">
        <v>337</v>
      </c>
      <c r="V314" s="32">
        <v>80</v>
      </c>
      <c r="W314" s="32" t="s">
        <v>89</v>
      </c>
      <c r="X314" s="32" t="str">
        <f t="shared" si="16"/>
        <v>Printed Sticker  10X10 CM</v>
      </c>
      <c r="Y314" s="33" t="s">
        <v>502</v>
      </c>
      <c r="Z314" s="32" t="str">
        <f t="shared" si="14"/>
        <v>Sticker  10x10 CM Pollar Cutting  80 Glossy sticker</v>
      </c>
      <c r="AA314" s="32" t="str">
        <f t="shared" si="15"/>
        <v>Printed  Transparent Stcker 97X30 MM</v>
      </c>
      <c r="AB314" s="32" t="s">
        <v>984</v>
      </c>
    </row>
    <row r="315" spans="2:28" x14ac:dyDescent="0.25">
      <c r="B315" s="31" t="s">
        <v>6</v>
      </c>
      <c r="D315" s="32">
        <v>2003</v>
      </c>
      <c r="E315" s="31" t="s">
        <v>6</v>
      </c>
      <c r="F315" s="32" t="s">
        <v>248</v>
      </c>
      <c r="G315" s="32" t="s">
        <v>249</v>
      </c>
      <c r="H315" s="32" t="s">
        <v>97</v>
      </c>
      <c r="I315" s="31" t="s">
        <v>137</v>
      </c>
      <c r="J315" s="32" t="s">
        <v>93</v>
      </c>
      <c r="K315" s="32">
        <v>1</v>
      </c>
      <c r="L315" s="33"/>
      <c r="O315" s="32">
        <v>35</v>
      </c>
      <c r="P315" s="32">
        <v>5</v>
      </c>
      <c r="Q315" s="32" t="s">
        <v>94</v>
      </c>
      <c r="T315" s="32" t="s">
        <v>331</v>
      </c>
      <c r="U315" s="32" t="s">
        <v>337</v>
      </c>
      <c r="V315" s="32">
        <v>80</v>
      </c>
      <c r="W315" s="32" t="s">
        <v>89</v>
      </c>
      <c r="X315" s="32" t="str">
        <f t="shared" si="16"/>
        <v>Printed Carton Sticker  35X5 CM</v>
      </c>
      <c r="Y315" s="31" t="s">
        <v>503</v>
      </c>
      <c r="Z315" s="32" t="str">
        <f t="shared" si="14"/>
        <v>Carton Sticker  35x5 CM Pollar Cutting  80 Glossy sticker</v>
      </c>
      <c r="AA315" s="32" t="str">
        <f t="shared" si="15"/>
        <v>Printed  Sticker 5.92X2 CM</v>
      </c>
      <c r="AB315" s="32" t="s">
        <v>985</v>
      </c>
    </row>
    <row r="316" spans="2:28" x14ac:dyDescent="0.25">
      <c r="B316" s="31" t="s">
        <v>6</v>
      </c>
      <c r="D316" s="32">
        <v>2003</v>
      </c>
      <c r="E316" s="31" t="s">
        <v>6</v>
      </c>
      <c r="F316" s="32" t="s">
        <v>248</v>
      </c>
      <c r="G316" s="32" t="s">
        <v>249</v>
      </c>
      <c r="H316" s="32" t="s">
        <v>97</v>
      </c>
      <c r="I316" s="33" t="s">
        <v>211</v>
      </c>
      <c r="J316" s="32" t="s">
        <v>93</v>
      </c>
      <c r="K316" s="32">
        <v>1</v>
      </c>
      <c r="L316" s="33"/>
      <c r="O316" s="32">
        <v>20</v>
      </c>
      <c r="P316" s="32">
        <v>14</v>
      </c>
      <c r="Q316" s="32" t="s">
        <v>94</v>
      </c>
      <c r="T316" s="32" t="s">
        <v>331</v>
      </c>
      <c r="U316" s="32" t="s">
        <v>337</v>
      </c>
      <c r="V316" s="32">
        <v>80</v>
      </c>
      <c r="W316" s="32" t="s">
        <v>89</v>
      </c>
      <c r="X316" s="32" t="str">
        <f t="shared" si="16"/>
        <v>Printed Shipping Mark  20X14 CM</v>
      </c>
      <c r="Y316" s="33" t="s">
        <v>504</v>
      </c>
      <c r="Z316" s="32" t="str">
        <f t="shared" si="14"/>
        <v>Shipping Mark  20x14 CM Pollar Cutting  80 Glossy sticker</v>
      </c>
      <c r="AA316" s="32" t="str">
        <f t="shared" si="15"/>
        <v>Printed  Barcode Sticker  3.5X3 CM</v>
      </c>
      <c r="AB316" s="32" t="s">
        <v>986</v>
      </c>
    </row>
    <row r="317" spans="2:28" x14ac:dyDescent="0.25">
      <c r="B317" s="31" t="s">
        <v>6</v>
      </c>
      <c r="D317" s="32">
        <v>2003</v>
      </c>
      <c r="E317" s="31" t="s">
        <v>6</v>
      </c>
      <c r="F317" s="32" t="s">
        <v>248</v>
      </c>
      <c r="G317" s="32" t="s">
        <v>249</v>
      </c>
      <c r="H317" s="32" t="s">
        <v>97</v>
      </c>
      <c r="I317" s="31" t="s">
        <v>102</v>
      </c>
      <c r="J317" s="32" t="s">
        <v>93</v>
      </c>
      <c r="K317" s="32">
        <v>1</v>
      </c>
      <c r="L317" s="33"/>
      <c r="O317" s="32">
        <v>18</v>
      </c>
      <c r="P317" s="32">
        <v>8</v>
      </c>
      <c r="Q317" s="32" t="s">
        <v>94</v>
      </c>
      <c r="T317" s="32" t="s">
        <v>331</v>
      </c>
      <c r="U317" s="32" t="s">
        <v>337</v>
      </c>
      <c r="V317" s="32">
        <v>80</v>
      </c>
      <c r="W317" s="32" t="s">
        <v>89</v>
      </c>
      <c r="X317" s="32" t="str">
        <f t="shared" si="16"/>
        <v>Printed Sticker 18X8 CM</v>
      </c>
      <c r="Y317" s="33" t="s">
        <v>232</v>
      </c>
      <c r="Z317" s="32" t="str">
        <f t="shared" si="14"/>
        <v>Sticker 18x8 CM Pollar Cutting  80 Glossy sticker</v>
      </c>
      <c r="AA317" s="32" t="str">
        <f t="shared" si="15"/>
        <v>Printed  Barcode Sticker  5X3 CM</v>
      </c>
      <c r="AB317" s="32" t="s">
        <v>987</v>
      </c>
    </row>
    <row r="318" spans="2:28" x14ac:dyDescent="0.25">
      <c r="B318" s="31" t="s">
        <v>6</v>
      </c>
      <c r="D318" s="32">
        <v>2003</v>
      </c>
      <c r="E318" s="31" t="s">
        <v>6</v>
      </c>
      <c r="F318" s="32" t="s">
        <v>248</v>
      </c>
      <c r="G318" s="32" t="s">
        <v>249</v>
      </c>
      <c r="H318" s="32" t="s">
        <v>97</v>
      </c>
      <c r="I318" s="31" t="s">
        <v>211</v>
      </c>
      <c r="J318" s="32" t="s">
        <v>93</v>
      </c>
      <c r="K318" s="32">
        <v>1</v>
      </c>
      <c r="L318" s="33"/>
      <c r="O318" s="32">
        <v>11.9</v>
      </c>
      <c r="P318" s="32">
        <v>9</v>
      </c>
      <c r="Q318" s="32" t="s">
        <v>94</v>
      </c>
      <c r="T318" s="32" t="s">
        <v>331</v>
      </c>
      <c r="U318" s="32" t="s">
        <v>337</v>
      </c>
      <c r="V318" s="32">
        <v>80</v>
      </c>
      <c r="W318" s="32" t="s">
        <v>89</v>
      </c>
      <c r="X318" s="32" t="str">
        <f t="shared" si="16"/>
        <v>Printed Shipping Mark  11.9X9 CM</v>
      </c>
      <c r="Y318" s="33" t="s">
        <v>505</v>
      </c>
      <c r="Z318" s="32" t="str">
        <f t="shared" si="14"/>
        <v>Shipping Mark  11.9x9 CM Pollar Cutting  80 Glossy sticker</v>
      </c>
      <c r="AA318" s="32" t="str">
        <f t="shared" si="15"/>
        <v>Printed  Band Roll 66.5X10 CM</v>
      </c>
      <c r="AB318" s="32" t="s">
        <v>988</v>
      </c>
    </row>
    <row r="319" spans="2:28" x14ac:dyDescent="0.25">
      <c r="B319" s="31" t="s">
        <v>6</v>
      </c>
      <c r="D319" s="32">
        <v>2003</v>
      </c>
      <c r="E319" s="31" t="s">
        <v>6</v>
      </c>
      <c r="F319" s="32" t="s">
        <v>248</v>
      </c>
      <c r="G319" s="32" t="s">
        <v>249</v>
      </c>
      <c r="H319" s="32" t="s">
        <v>97</v>
      </c>
      <c r="I319" s="31" t="s">
        <v>137</v>
      </c>
      <c r="J319" s="32" t="s">
        <v>93</v>
      </c>
      <c r="K319" s="32">
        <v>14</v>
      </c>
      <c r="L319" s="33"/>
      <c r="O319" s="32">
        <v>10</v>
      </c>
      <c r="P319" s="32"/>
      <c r="Q319" s="32" t="s">
        <v>94</v>
      </c>
      <c r="T319" s="32" t="s">
        <v>331</v>
      </c>
      <c r="U319" s="32" t="s">
        <v>337</v>
      </c>
      <c r="V319" s="32">
        <v>80</v>
      </c>
      <c r="W319" s="32" t="s">
        <v>89</v>
      </c>
      <c r="X319" s="32" t="str">
        <f t="shared" si="16"/>
        <v>Printed Carton Sticker  10X CM</v>
      </c>
      <c r="Y319" s="33" t="s">
        <v>506</v>
      </c>
      <c r="Z319" s="32" t="str">
        <f t="shared" si="14"/>
        <v>Carton Sticker  10x CM Pollar Cutting  80 Glossy sticker</v>
      </c>
      <c r="AA319" s="32" t="str">
        <f t="shared" si="15"/>
        <v>Printed  Band Roll 40X8 CM</v>
      </c>
      <c r="AB319" s="32" t="s">
        <v>989</v>
      </c>
    </row>
    <row r="320" spans="2:28" x14ac:dyDescent="0.25">
      <c r="B320" s="31" t="s">
        <v>6</v>
      </c>
      <c r="D320" s="32">
        <v>2003</v>
      </c>
      <c r="E320" s="31" t="s">
        <v>6</v>
      </c>
      <c r="F320" s="32" t="s">
        <v>248</v>
      </c>
      <c r="G320" s="32" t="s">
        <v>249</v>
      </c>
      <c r="H320" s="32" t="s">
        <v>97</v>
      </c>
      <c r="I320" s="33" t="s">
        <v>341</v>
      </c>
      <c r="J320" s="32" t="s">
        <v>93</v>
      </c>
      <c r="K320" s="32">
        <v>1</v>
      </c>
      <c r="L320" s="33"/>
      <c r="O320" s="32">
        <v>8</v>
      </c>
      <c r="P320" s="32">
        <v>3</v>
      </c>
      <c r="Q320" s="32" t="s">
        <v>94</v>
      </c>
      <c r="T320" s="32" t="s">
        <v>331</v>
      </c>
      <c r="U320" s="32" t="s">
        <v>337</v>
      </c>
      <c r="V320" s="32">
        <v>80</v>
      </c>
      <c r="W320" s="32" t="s">
        <v>89</v>
      </c>
      <c r="X320" s="32" t="str">
        <f t="shared" si="16"/>
        <v>Printed Set Barcode  8X3 CM</v>
      </c>
      <c r="Y320" s="33" t="s">
        <v>507</v>
      </c>
      <c r="Z320" s="32" t="str">
        <f t="shared" si="14"/>
        <v>Set Barcode  8x3 CM Pollar Cutting  80 Glossy sticker</v>
      </c>
      <c r="AA320" s="32" t="str">
        <f t="shared" si="15"/>
        <v>Printed  Band Roll 36X6 CM</v>
      </c>
      <c r="AB320" s="32" t="s">
        <v>990</v>
      </c>
    </row>
    <row r="321" spans="2:28" x14ac:dyDescent="0.25">
      <c r="B321" s="31" t="s">
        <v>6</v>
      </c>
      <c r="D321" s="32">
        <v>2003</v>
      </c>
      <c r="E321" s="31" t="s">
        <v>6</v>
      </c>
      <c r="F321" s="32" t="s">
        <v>248</v>
      </c>
      <c r="G321" s="32" t="s">
        <v>249</v>
      </c>
      <c r="H321" s="32" t="s">
        <v>97</v>
      </c>
      <c r="I321" s="33" t="s">
        <v>341</v>
      </c>
      <c r="J321" s="32" t="s">
        <v>93</v>
      </c>
      <c r="K321" s="32">
        <v>1</v>
      </c>
      <c r="L321" s="33"/>
      <c r="O321" s="32">
        <v>5</v>
      </c>
      <c r="P321" s="32">
        <v>4</v>
      </c>
      <c r="Q321" s="32" t="s">
        <v>94</v>
      </c>
      <c r="T321" s="32" t="s">
        <v>331</v>
      </c>
      <c r="U321" s="32" t="s">
        <v>337</v>
      </c>
      <c r="V321" s="32">
        <v>80</v>
      </c>
      <c r="W321" s="32" t="s">
        <v>89</v>
      </c>
      <c r="X321" s="32" t="str">
        <f t="shared" si="16"/>
        <v>Printed Set Barcode  5X4 CM</v>
      </c>
      <c r="Y321" s="33" t="s">
        <v>508</v>
      </c>
      <c r="Z321" s="32" t="str">
        <f t="shared" si="14"/>
        <v>Set Barcode  5x4 CM Pollar Cutting  80 Glossy sticker</v>
      </c>
      <c r="AA321" s="32" t="str">
        <f t="shared" si="15"/>
        <v>Printed  Carton Sticker  17X2.5 CM</v>
      </c>
      <c r="AB321" s="32" t="s">
        <v>991</v>
      </c>
    </row>
    <row r="322" spans="2:28" x14ac:dyDescent="0.25">
      <c r="B322" s="31" t="s">
        <v>6</v>
      </c>
      <c r="D322" s="32">
        <v>2003</v>
      </c>
      <c r="E322" s="31" t="s">
        <v>6</v>
      </c>
      <c r="F322" s="32" t="s">
        <v>248</v>
      </c>
      <c r="G322" s="32" t="s">
        <v>249</v>
      </c>
      <c r="H322" s="32" t="s">
        <v>97</v>
      </c>
      <c r="I322" s="35" t="s">
        <v>241</v>
      </c>
      <c r="J322" s="32" t="s">
        <v>93</v>
      </c>
      <c r="K322" s="32">
        <v>1</v>
      </c>
      <c r="L322" s="33"/>
      <c r="O322" s="32">
        <v>97</v>
      </c>
      <c r="P322" s="32">
        <v>30</v>
      </c>
      <c r="Q322" s="32" t="s">
        <v>96</v>
      </c>
      <c r="T322" s="32" t="s">
        <v>331</v>
      </c>
      <c r="U322" s="32" t="s">
        <v>332</v>
      </c>
      <c r="V322" s="32">
        <v>80</v>
      </c>
      <c r="W322" s="32" t="s">
        <v>89</v>
      </c>
      <c r="X322" s="32" t="str">
        <f t="shared" si="16"/>
        <v>Printed Transparent Stcker 97X30 MM</v>
      </c>
      <c r="Y322" s="33" t="s">
        <v>509</v>
      </c>
      <c r="Z322" s="32" t="str">
        <f t="shared" si="14"/>
        <v>Transparent Stcker 97x30 MM Pollar Cutting  80 TRANSPARENT STICKER</v>
      </c>
      <c r="AA322" s="32" t="str">
        <f t="shared" si="15"/>
        <v>Printed  Shipping Mark 15X10 CM</v>
      </c>
      <c r="AB322" s="32" t="s">
        <v>992</v>
      </c>
    </row>
    <row r="323" spans="2:28" x14ac:dyDescent="0.25">
      <c r="B323" s="31" t="s">
        <v>6</v>
      </c>
      <c r="D323" s="32">
        <v>2003</v>
      </c>
      <c r="E323" s="31" t="s">
        <v>6</v>
      </c>
      <c r="F323" s="32" t="s">
        <v>248</v>
      </c>
      <c r="G323" s="32" t="s">
        <v>249</v>
      </c>
      <c r="H323" s="32" t="s">
        <v>97</v>
      </c>
      <c r="I323" s="35" t="s">
        <v>102</v>
      </c>
      <c r="J323" s="32" t="s">
        <v>93</v>
      </c>
      <c r="K323" s="32">
        <v>1</v>
      </c>
      <c r="L323" s="33"/>
      <c r="O323" s="32">
        <v>5.92</v>
      </c>
      <c r="P323" s="32">
        <v>2</v>
      </c>
      <c r="Q323" s="32" t="s">
        <v>94</v>
      </c>
      <c r="T323" s="32" t="s">
        <v>331</v>
      </c>
      <c r="U323" s="32" t="s">
        <v>332</v>
      </c>
      <c r="V323" s="32">
        <v>80</v>
      </c>
      <c r="W323" s="32" t="s">
        <v>89</v>
      </c>
      <c r="X323" s="32" t="str">
        <f t="shared" si="16"/>
        <v>Printed Sticker 5.92X2 CM</v>
      </c>
      <c r="Y323" s="33" t="s">
        <v>510</v>
      </c>
      <c r="Z323" s="32" t="str">
        <f t="shared" ref="Z323:Z386" si="17">CONCATENATE(I323," ",O323,"x",P323," ",Q323," ",T323," ",V323," ",U323)</f>
        <v>Sticker 5.92x2 CM Pollar Cutting  80 TRANSPARENT STICKER</v>
      </c>
      <c r="AA323" s="32" t="str">
        <f t="shared" ref="AA323:AA386" si="18">CONCATENATE(J331," ",R323," ",I331," ",O331,"X",P331," ",Q331)</f>
        <v>Printed  Shipping Mark  8.2X8.2 CM</v>
      </c>
      <c r="AB323" s="32" t="s">
        <v>993</v>
      </c>
    </row>
    <row r="324" spans="2:28" x14ac:dyDescent="0.25">
      <c r="B324" s="31" t="s">
        <v>6</v>
      </c>
      <c r="D324" s="32">
        <v>2003</v>
      </c>
      <c r="E324" s="31" t="s">
        <v>6</v>
      </c>
      <c r="F324" s="32" t="s">
        <v>248</v>
      </c>
      <c r="G324" s="32" t="s">
        <v>249</v>
      </c>
      <c r="H324" s="32" t="s">
        <v>97</v>
      </c>
      <c r="I324" s="31" t="s">
        <v>340</v>
      </c>
      <c r="J324" s="32" t="s">
        <v>93</v>
      </c>
      <c r="K324" s="32">
        <v>1</v>
      </c>
      <c r="L324" s="33"/>
      <c r="O324" s="32">
        <v>3.5</v>
      </c>
      <c r="P324" s="32">
        <v>3</v>
      </c>
      <c r="Q324" s="32" t="s">
        <v>94</v>
      </c>
      <c r="T324" s="32" t="s">
        <v>331</v>
      </c>
      <c r="U324" s="32" t="s">
        <v>337</v>
      </c>
      <c r="V324" s="32">
        <v>80</v>
      </c>
      <c r="W324" s="32" t="s">
        <v>89</v>
      </c>
      <c r="X324" s="32" t="str">
        <f t="shared" si="16"/>
        <v>Printed Barcode Sticker  3.5X3 CM</v>
      </c>
      <c r="Y324" s="33" t="s">
        <v>511</v>
      </c>
      <c r="Z324" s="32" t="str">
        <f t="shared" si="17"/>
        <v>Barcode Sticker  3.5x3 CM Pollar Cutting  80 Glossy sticker</v>
      </c>
      <c r="AA324" s="32" t="str">
        <f t="shared" si="18"/>
        <v>Printed  Shipping Mark  36X6 CM</v>
      </c>
      <c r="AB324" s="32" t="s">
        <v>994</v>
      </c>
    </row>
    <row r="325" spans="2:28" x14ac:dyDescent="0.25">
      <c r="B325" s="31" t="s">
        <v>6</v>
      </c>
      <c r="D325" s="32">
        <v>2003</v>
      </c>
      <c r="E325" s="31" t="s">
        <v>6</v>
      </c>
      <c r="F325" s="32" t="s">
        <v>248</v>
      </c>
      <c r="G325" s="32" t="s">
        <v>249</v>
      </c>
      <c r="H325" s="32" t="s">
        <v>97</v>
      </c>
      <c r="I325" s="31" t="s">
        <v>340</v>
      </c>
      <c r="J325" s="32" t="s">
        <v>93</v>
      </c>
      <c r="K325" s="32">
        <v>1</v>
      </c>
      <c r="L325" s="33"/>
      <c r="O325" s="32">
        <v>5</v>
      </c>
      <c r="P325" s="32">
        <v>3</v>
      </c>
      <c r="Q325" s="32" t="s">
        <v>94</v>
      </c>
      <c r="T325" s="32" t="s">
        <v>156</v>
      </c>
      <c r="U325" s="32" t="s">
        <v>337</v>
      </c>
      <c r="V325" s="32">
        <v>80</v>
      </c>
      <c r="W325" s="32" t="s">
        <v>89</v>
      </c>
      <c r="X325" s="32" t="str">
        <f t="shared" si="16"/>
        <v>Printed Barcode Sticker  5X3 CM</v>
      </c>
      <c r="Y325" s="33" t="s">
        <v>512</v>
      </c>
      <c r="Z325" s="32" t="str">
        <f t="shared" si="17"/>
        <v>Barcode Sticker  5x3 CM Die Cutting  80 Glossy sticker</v>
      </c>
      <c r="AA325" s="32" t="str">
        <f t="shared" si="18"/>
        <v>Printed  Band Roll 54X10 CM</v>
      </c>
      <c r="AB325" s="32" t="s">
        <v>995</v>
      </c>
    </row>
    <row r="326" spans="2:28" x14ac:dyDescent="0.25">
      <c r="B326" s="31" t="s">
        <v>6</v>
      </c>
      <c r="D326" s="32">
        <v>2003</v>
      </c>
      <c r="E326" s="31" t="s">
        <v>6</v>
      </c>
      <c r="F326" s="32" t="s">
        <v>248</v>
      </c>
      <c r="G326" s="32" t="s">
        <v>249</v>
      </c>
      <c r="H326" s="32" t="s">
        <v>97</v>
      </c>
      <c r="I326" s="35" t="s">
        <v>53</v>
      </c>
      <c r="J326" s="32" t="s">
        <v>93</v>
      </c>
      <c r="K326" s="34">
        <v>4</v>
      </c>
      <c r="L326" s="31"/>
      <c r="O326" s="34">
        <v>66.5</v>
      </c>
      <c r="P326" s="34">
        <v>10</v>
      </c>
      <c r="Q326" s="34" t="s">
        <v>94</v>
      </c>
      <c r="R326" s="34"/>
      <c r="S326" s="34" t="s">
        <v>122</v>
      </c>
      <c r="T326" s="32" t="s">
        <v>156</v>
      </c>
      <c r="U326" s="32" t="s">
        <v>110</v>
      </c>
      <c r="V326" s="34">
        <v>350</v>
      </c>
      <c r="W326" s="34" t="s">
        <v>89</v>
      </c>
      <c r="X326" s="32" t="str">
        <f t="shared" si="16"/>
        <v>Printed Band Roll 66.5X10 CM</v>
      </c>
      <c r="Y326" s="31" t="s">
        <v>513</v>
      </c>
      <c r="Z326" s="32" t="str">
        <f t="shared" si="17"/>
        <v>Band Roll 66.5x10 CM Die Cutting  350 Swedish Board</v>
      </c>
      <c r="AA326" s="32" t="str">
        <f t="shared" si="18"/>
        <v>Printed  Band Roll 41.5X8 CM</v>
      </c>
      <c r="AB326" s="32" t="s">
        <v>996</v>
      </c>
    </row>
    <row r="327" spans="2:28" x14ac:dyDescent="0.25">
      <c r="B327" s="31" t="s">
        <v>6</v>
      </c>
      <c r="D327" s="32">
        <v>2003</v>
      </c>
      <c r="E327" s="31" t="s">
        <v>6</v>
      </c>
      <c r="F327" s="32" t="s">
        <v>248</v>
      </c>
      <c r="G327" s="32" t="s">
        <v>249</v>
      </c>
      <c r="H327" s="32" t="s">
        <v>97</v>
      </c>
      <c r="I327" s="42" t="s">
        <v>53</v>
      </c>
      <c r="J327" s="32" t="s">
        <v>93</v>
      </c>
      <c r="K327" s="34">
        <v>4</v>
      </c>
      <c r="L327" s="33"/>
      <c r="O327" s="34">
        <v>40</v>
      </c>
      <c r="P327" s="34">
        <v>8</v>
      </c>
      <c r="Q327" s="34" t="s">
        <v>94</v>
      </c>
      <c r="R327" s="34"/>
      <c r="S327" s="34" t="s">
        <v>122</v>
      </c>
      <c r="T327" s="32" t="s">
        <v>156</v>
      </c>
      <c r="U327" s="32" t="s">
        <v>110</v>
      </c>
      <c r="V327" s="34">
        <v>350</v>
      </c>
      <c r="W327" s="34" t="s">
        <v>89</v>
      </c>
      <c r="X327" s="32" t="str">
        <f t="shared" si="16"/>
        <v>Printed Band Roll 40X8 CM</v>
      </c>
      <c r="Y327" s="33" t="s">
        <v>514</v>
      </c>
      <c r="Z327" s="32" t="str">
        <f t="shared" si="17"/>
        <v>Band Roll 40x8 CM Die Cutting  350 Swedish Board</v>
      </c>
      <c r="AA327" s="32" t="str">
        <f t="shared" si="18"/>
        <v>Printed  Band Roll 44.5X8 CM</v>
      </c>
      <c r="AB327" s="32" t="s">
        <v>997</v>
      </c>
    </row>
    <row r="328" spans="2:28" x14ac:dyDescent="0.25">
      <c r="B328" s="31" t="s">
        <v>6</v>
      </c>
      <c r="D328" s="32">
        <v>2003</v>
      </c>
      <c r="E328" s="31" t="s">
        <v>6</v>
      </c>
      <c r="F328" s="32" t="s">
        <v>248</v>
      </c>
      <c r="G328" s="32" t="s">
        <v>249</v>
      </c>
      <c r="H328" s="32" t="s">
        <v>97</v>
      </c>
      <c r="I328" s="42" t="s">
        <v>53</v>
      </c>
      <c r="J328" s="32" t="s">
        <v>93</v>
      </c>
      <c r="K328" s="34">
        <v>3</v>
      </c>
      <c r="L328" s="33"/>
      <c r="O328" s="34">
        <v>36</v>
      </c>
      <c r="P328" s="34">
        <v>6</v>
      </c>
      <c r="Q328" s="34" t="s">
        <v>94</v>
      </c>
      <c r="R328" s="34"/>
      <c r="S328" s="34" t="s">
        <v>122</v>
      </c>
      <c r="T328" s="32" t="s">
        <v>156</v>
      </c>
      <c r="U328" s="32" t="s">
        <v>110</v>
      </c>
      <c r="V328" s="34">
        <v>350</v>
      </c>
      <c r="W328" s="34" t="s">
        <v>89</v>
      </c>
      <c r="X328" s="32" t="str">
        <f t="shared" si="16"/>
        <v>Printed Band Roll 36X6 CM</v>
      </c>
      <c r="Y328" s="33" t="s">
        <v>515</v>
      </c>
      <c r="Z328" s="32" t="str">
        <f t="shared" si="17"/>
        <v>Band Roll 36x6 CM Die Cutting  350 Swedish Board</v>
      </c>
      <c r="AA328" s="32" t="str">
        <f t="shared" si="18"/>
        <v>Non Printed  Round Sticker  4X CM</v>
      </c>
      <c r="AB328" s="32" t="s">
        <v>998</v>
      </c>
    </row>
    <row r="329" spans="2:28" x14ac:dyDescent="0.25">
      <c r="B329" s="31" t="s">
        <v>6</v>
      </c>
      <c r="D329" s="32">
        <v>2003</v>
      </c>
      <c r="E329" s="31" t="s">
        <v>6</v>
      </c>
      <c r="F329" s="32" t="s">
        <v>248</v>
      </c>
      <c r="G329" s="32" t="s">
        <v>249</v>
      </c>
      <c r="H329" s="32" t="s">
        <v>97</v>
      </c>
      <c r="I329" s="35" t="s">
        <v>137</v>
      </c>
      <c r="J329" s="32" t="s">
        <v>93</v>
      </c>
      <c r="K329" s="34">
        <v>2</v>
      </c>
      <c r="L329" s="33"/>
      <c r="O329" s="34">
        <v>17</v>
      </c>
      <c r="P329" s="34">
        <v>2.5</v>
      </c>
      <c r="Q329" s="34" t="s">
        <v>94</v>
      </c>
      <c r="R329" s="34"/>
      <c r="S329" s="34"/>
      <c r="T329" s="32" t="s">
        <v>156</v>
      </c>
      <c r="U329" s="34" t="s">
        <v>128</v>
      </c>
      <c r="V329" s="34">
        <v>80</v>
      </c>
      <c r="W329" s="34" t="s">
        <v>89</v>
      </c>
      <c r="X329" s="32" t="str">
        <f t="shared" si="16"/>
        <v>Printed Carton Sticker  17X2.5 CM</v>
      </c>
      <c r="Y329" s="33" t="s">
        <v>516</v>
      </c>
      <c r="Z329" s="32" t="str">
        <f t="shared" si="17"/>
        <v>Carton Sticker  17x2.5 CM Die Cutting  80 Glossy Sticker</v>
      </c>
      <c r="AA329" s="32" t="str">
        <f t="shared" si="18"/>
        <v>Printed  Band Roll  65X10 CM</v>
      </c>
      <c r="AB329" s="32" t="s">
        <v>698</v>
      </c>
    </row>
    <row r="330" spans="2:28" x14ac:dyDescent="0.25">
      <c r="B330" s="31" t="s">
        <v>6</v>
      </c>
      <c r="D330" s="32">
        <v>2003</v>
      </c>
      <c r="E330" s="31" t="s">
        <v>6</v>
      </c>
      <c r="F330" s="32" t="s">
        <v>248</v>
      </c>
      <c r="G330" s="32" t="s">
        <v>249</v>
      </c>
      <c r="H330" s="32" t="s">
        <v>97</v>
      </c>
      <c r="I330" s="35" t="s">
        <v>651</v>
      </c>
      <c r="J330" s="32" t="s">
        <v>93</v>
      </c>
      <c r="K330" s="34">
        <v>1</v>
      </c>
      <c r="L330" s="33"/>
      <c r="O330" s="34">
        <v>15</v>
      </c>
      <c r="P330" s="34">
        <v>10</v>
      </c>
      <c r="Q330" s="34" t="s">
        <v>94</v>
      </c>
      <c r="R330" s="34"/>
      <c r="S330" s="34"/>
      <c r="T330" s="34" t="s">
        <v>119</v>
      </c>
      <c r="U330" s="34" t="s">
        <v>128</v>
      </c>
      <c r="V330" s="34">
        <v>80</v>
      </c>
      <c r="W330" s="34" t="s">
        <v>89</v>
      </c>
      <c r="X330" s="32" t="str">
        <f t="shared" si="16"/>
        <v>Printed Shipping Mark 15X10 CM</v>
      </c>
      <c r="Y330" s="33" t="s">
        <v>517</v>
      </c>
      <c r="Z330" s="32" t="str">
        <f t="shared" si="17"/>
        <v>Shipping Mark 15x10 CM Pollar Cutting 80 Glossy Sticker</v>
      </c>
      <c r="AA330" s="32" t="str">
        <f t="shared" si="18"/>
        <v>Printed  Band Roll 66X10 CM</v>
      </c>
      <c r="AB330" s="32" t="s">
        <v>999</v>
      </c>
    </row>
    <row r="331" spans="2:28" x14ac:dyDescent="0.25">
      <c r="B331" s="31" t="s">
        <v>6</v>
      </c>
      <c r="D331" s="32">
        <v>2003</v>
      </c>
      <c r="E331" s="31" t="s">
        <v>6</v>
      </c>
      <c r="F331" s="32" t="s">
        <v>248</v>
      </c>
      <c r="G331" s="32" t="s">
        <v>249</v>
      </c>
      <c r="H331" s="32" t="s">
        <v>97</v>
      </c>
      <c r="I331" s="31" t="s">
        <v>211</v>
      </c>
      <c r="J331" s="32" t="s">
        <v>93</v>
      </c>
      <c r="K331" s="34">
        <v>1</v>
      </c>
      <c r="L331" s="33"/>
      <c r="O331" s="34">
        <v>8.1999999999999993</v>
      </c>
      <c r="P331" s="34">
        <v>8.1999999999999993</v>
      </c>
      <c r="Q331" s="34" t="s">
        <v>94</v>
      </c>
      <c r="R331" s="34"/>
      <c r="S331" s="34"/>
      <c r="T331" s="34" t="s">
        <v>119</v>
      </c>
      <c r="U331" s="34" t="s">
        <v>128</v>
      </c>
      <c r="V331" s="34">
        <v>80</v>
      </c>
      <c r="W331" s="34" t="s">
        <v>89</v>
      </c>
      <c r="X331" s="32" t="str">
        <f t="shared" si="16"/>
        <v>Printed Shipping Mark  8.2X8.2 CM</v>
      </c>
      <c r="Y331" s="33" t="s">
        <v>518</v>
      </c>
      <c r="Z331" s="32" t="str">
        <f t="shared" si="17"/>
        <v>Shipping Mark  8.2x8.2 CM Pollar Cutting 80 Glossy Sticker</v>
      </c>
      <c r="AA331" s="32" t="str">
        <f t="shared" si="18"/>
        <v>Printed  Band Roll  67X10 CM</v>
      </c>
      <c r="AB331" s="32" t="s">
        <v>1000</v>
      </c>
    </row>
    <row r="332" spans="2:28" x14ac:dyDescent="0.25">
      <c r="B332" s="31" t="s">
        <v>6</v>
      </c>
      <c r="D332" s="32">
        <v>2003</v>
      </c>
      <c r="E332" s="31" t="s">
        <v>6</v>
      </c>
      <c r="F332" s="32" t="s">
        <v>248</v>
      </c>
      <c r="G332" s="32" t="s">
        <v>249</v>
      </c>
      <c r="H332" s="32" t="s">
        <v>97</v>
      </c>
      <c r="I332" s="31" t="s">
        <v>211</v>
      </c>
      <c r="J332" s="32" t="s">
        <v>93</v>
      </c>
      <c r="K332" s="34">
        <v>1</v>
      </c>
      <c r="L332" s="33"/>
      <c r="O332" s="34">
        <v>36</v>
      </c>
      <c r="P332" s="34">
        <v>6</v>
      </c>
      <c r="Q332" s="34" t="s">
        <v>94</v>
      </c>
      <c r="R332" s="34"/>
      <c r="S332" s="34"/>
      <c r="T332" s="34" t="s">
        <v>119</v>
      </c>
      <c r="U332" s="34" t="s">
        <v>128</v>
      </c>
      <c r="V332" s="34">
        <v>80</v>
      </c>
      <c r="W332" s="34" t="s">
        <v>89</v>
      </c>
      <c r="X332" s="32" t="str">
        <f t="shared" si="16"/>
        <v>Printed Shipping Mark  36X6 CM</v>
      </c>
      <c r="Y332" s="33" t="s">
        <v>519</v>
      </c>
      <c r="Z332" s="32" t="str">
        <f t="shared" si="17"/>
        <v>Shipping Mark  36x6 CM Pollar Cutting 80 Glossy Sticker</v>
      </c>
      <c r="AA332" s="32" t="str">
        <f t="shared" si="18"/>
        <v>Printed  Hanger  26X10 CM</v>
      </c>
      <c r="AB332" s="32" t="s">
        <v>699</v>
      </c>
    </row>
    <row r="333" spans="2:28" x14ac:dyDescent="0.25">
      <c r="B333" s="31" t="s">
        <v>6</v>
      </c>
      <c r="D333" s="32">
        <v>2003</v>
      </c>
      <c r="E333" s="31" t="s">
        <v>6</v>
      </c>
      <c r="F333" s="32" t="s">
        <v>248</v>
      </c>
      <c r="G333" s="32" t="s">
        <v>249</v>
      </c>
      <c r="H333" s="32" t="s">
        <v>97</v>
      </c>
      <c r="I333" s="31" t="s">
        <v>53</v>
      </c>
      <c r="J333" s="32" t="s">
        <v>93</v>
      </c>
      <c r="K333" s="34">
        <v>4</v>
      </c>
      <c r="L333" s="33"/>
      <c r="O333" s="34">
        <v>54</v>
      </c>
      <c r="P333" s="34">
        <v>10</v>
      </c>
      <c r="Q333" s="34" t="s">
        <v>94</v>
      </c>
      <c r="R333" s="34"/>
      <c r="S333" s="34" t="s">
        <v>122</v>
      </c>
      <c r="T333" s="32" t="s">
        <v>156</v>
      </c>
      <c r="U333" s="32" t="s">
        <v>110</v>
      </c>
      <c r="V333" s="34">
        <v>350</v>
      </c>
      <c r="W333" s="34" t="s">
        <v>89</v>
      </c>
      <c r="X333" s="32" t="str">
        <f t="shared" si="16"/>
        <v>Printed Band Roll 54X10 CM</v>
      </c>
      <c r="Y333" s="31" t="s">
        <v>520</v>
      </c>
      <c r="Z333" s="32" t="str">
        <f t="shared" si="17"/>
        <v>Band Roll 54x10 CM Die Cutting  350 Swedish Board</v>
      </c>
      <c r="AA333" s="32" t="str">
        <f t="shared" si="18"/>
        <v>Printed  Carton Sticker  3X4.5 CM</v>
      </c>
      <c r="AB333" s="32" t="s">
        <v>1001</v>
      </c>
    </row>
    <row r="334" spans="2:28" x14ac:dyDescent="0.25">
      <c r="B334" s="31" t="s">
        <v>6</v>
      </c>
      <c r="D334" s="32">
        <v>2003</v>
      </c>
      <c r="E334" s="31" t="s">
        <v>6</v>
      </c>
      <c r="F334" s="32" t="s">
        <v>248</v>
      </c>
      <c r="G334" s="32" t="s">
        <v>249</v>
      </c>
      <c r="H334" s="32" t="s">
        <v>97</v>
      </c>
      <c r="I334" s="33" t="s">
        <v>53</v>
      </c>
      <c r="J334" s="32" t="s">
        <v>93</v>
      </c>
      <c r="K334" s="34">
        <v>4</v>
      </c>
      <c r="L334" s="33"/>
      <c r="O334" s="34">
        <v>41.5</v>
      </c>
      <c r="P334" s="34">
        <v>8</v>
      </c>
      <c r="Q334" s="34" t="s">
        <v>94</v>
      </c>
      <c r="R334" s="34"/>
      <c r="S334" s="34" t="s">
        <v>122</v>
      </c>
      <c r="T334" s="32" t="s">
        <v>156</v>
      </c>
      <c r="U334" s="32" t="s">
        <v>110</v>
      </c>
      <c r="V334" s="34">
        <v>350</v>
      </c>
      <c r="W334" s="34" t="s">
        <v>89</v>
      </c>
      <c r="X334" s="32" t="str">
        <f t="shared" si="16"/>
        <v>Printed Band Roll 41.5X8 CM</v>
      </c>
      <c r="Y334" s="33" t="s">
        <v>521</v>
      </c>
      <c r="Z334" s="32" t="str">
        <f t="shared" si="17"/>
        <v>Band Roll 41.5x8 CM Die Cutting  350 Swedish Board</v>
      </c>
      <c r="AA334" s="32" t="str">
        <f t="shared" si="18"/>
        <v>Printed  Shipping Mark  15X10 CM</v>
      </c>
      <c r="AB334" s="32" t="s">
        <v>992</v>
      </c>
    </row>
    <row r="335" spans="2:28" x14ac:dyDescent="0.25">
      <c r="B335" s="31" t="s">
        <v>6</v>
      </c>
      <c r="D335" s="32">
        <v>2003</v>
      </c>
      <c r="E335" s="31" t="s">
        <v>6</v>
      </c>
      <c r="F335" s="32" t="s">
        <v>248</v>
      </c>
      <c r="G335" s="32" t="s">
        <v>249</v>
      </c>
      <c r="H335" s="32" t="s">
        <v>97</v>
      </c>
      <c r="I335" s="31" t="s">
        <v>53</v>
      </c>
      <c r="J335" s="32" t="s">
        <v>93</v>
      </c>
      <c r="K335" s="34">
        <v>4</v>
      </c>
      <c r="L335" s="33"/>
      <c r="O335" s="34">
        <v>44.5</v>
      </c>
      <c r="P335" s="34">
        <v>8</v>
      </c>
      <c r="Q335" s="34" t="s">
        <v>94</v>
      </c>
      <c r="R335" s="34"/>
      <c r="S335" s="34" t="s">
        <v>122</v>
      </c>
      <c r="T335" s="32" t="s">
        <v>156</v>
      </c>
      <c r="U335" s="32" t="s">
        <v>110</v>
      </c>
      <c r="V335" s="34">
        <v>350</v>
      </c>
      <c r="W335" s="34" t="s">
        <v>89</v>
      </c>
      <c r="X335" s="32" t="str">
        <f t="shared" si="16"/>
        <v>Printed Band Roll 44.5X8 CM</v>
      </c>
      <c r="Y335" s="33" t="s">
        <v>522</v>
      </c>
      <c r="Z335" s="32" t="str">
        <f t="shared" si="17"/>
        <v>Band Roll 44.5x8 CM Die Cutting  350 Swedish Board</v>
      </c>
      <c r="AA335" s="32" t="str">
        <f t="shared" si="18"/>
        <v>Printed  Sticker 10X5 CM</v>
      </c>
      <c r="AB335" s="32" t="s">
        <v>1002</v>
      </c>
    </row>
    <row r="336" spans="2:28" x14ac:dyDescent="0.25">
      <c r="B336" s="31" t="s">
        <v>6</v>
      </c>
      <c r="D336" s="32">
        <v>2003</v>
      </c>
      <c r="E336" s="31" t="s">
        <v>6</v>
      </c>
      <c r="F336" s="32" t="s">
        <v>248</v>
      </c>
      <c r="G336" s="32" t="s">
        <v>249</v>
      </c>
      <c r="H336" s="32" t="s">
        <v>97</v>
      </c>
      <c r="I336" s="31" t="s">
        <v>656</v>
      </c>
      <c r="J336" s="32" t="s">
        <v>238</v>
      </c>
      <c r="L336" s="33"/>
      <c r="O336" s="34">
        <v>4</v>
      </c>
      <c r="Q336" s="34" t="s">
        <v>94</v>
      </c>
      <c r="R336" s="34"/>
      <c r="S336" s="34"/>
      <c r="T336" s="32" t="s">
        <v>156</v>
      </c>
      <c r="U336" s="34" t="s">
        <v>35</v>
      </c>
      <c r="V336" s="34">
        <v>80</v>
      </c>
      <c r="W336" s="34" t="s">
        <v>89</v>
      </c>
      <c r="X336" s="32" t="str">
        <f t="shared" si="16"/>
        <v>Non Printed Round Sticker  4X CM</v>
      </c>
      <c r="Y336" s="33" t="s">
        <v>523</v>
      </c>
      <c r="Z336" s="32" t="str">
        <f t="shared" si="17"/>
        <v>Round Sticker  4x CM Die Cutting  80 Transparent Sticker</v>
      </c>
      <c r="AA336" s="32" t="str">
        <f t="shared" si="18"/>
        <v>Printed  Sticker 1.25X0.5 CM</v>
      </c>
      <c r="AB336" s="32" t="s">
        <v>1003</v>
      </c>
    </row>
    <row r="337" spans="2:28" x14ac:dyDescent="0.25">
      <c r="B337" s="31" t="s">
        <v>6</v>
      </c>
      <c r="D337" s="32">
        <v>2003</v>
      </c>
      <c r="E337" s="31" t="s">
        <v>6</v>
      </c>
      <c r="F337" s="32" t="s">
        <v>248</v>
      </c>
      <c r="G337" s="32" t="s">
        <v>249</v>
      </c>
      <c r="H337" s="32" t="s">
        <v>97</v>
      </c>
      <c r="I337" s="33" t="s">
        <v>121</v>
      </c>
      <c r="J337" s="32" t="s">
        <v>93</v>
      </c>
      <c r="K337" s="34">
        <v>4</v>
      </c>
      <c r="L337" s="33"/>
      <c r="O337" s="34">
        <v>65</v>
      </c>
      <c r="P337" s="34">
        <v>10</v>
      </c>
      <c r="Q337" s="34" t="s">
        <v>94</v>
      </c>
      <c r="R337" s="34"/>
      <c r="S337" s="34" t="s">
        <v>122</v>
      </c>
      <c r="T337" s="32" t="s">
        <v>156</v>
      </c>
      <c r="U337" s="32" t="s">
        <v>110</v>
      </c>
      <c r="V337" s="34">
        <v>350</v>
      </c>
      <c r="W337" s="34" t="s">
        <v>89</v>
      </c>
      <c r="X337" s="32" t="str">
        <f t="shared" si="16"/>
        <v>Printed Band Roll  65X10 CM</v>
      </c>
      <c r="Y337" s="33" t="s">
        <v>524</v>
      </c>
      <c r="Z337" s="32" t="str">
        <f t="shared" si="17"/>
        <v>Band Roll  65x10 CM Die Cutting  350 Swedish Board</v>
      </c>
      <c r="AA337" s="32" t="str">
        <f t="shared" si="18"/>
        <v>Non Printed  Round Sticker  40X MM</v>
      </c>
      <c r="AB337" s="32" t="s">
        <v>1004</v>
      </c>
    </row>
    <row r="338" spans="2:28" x14ac:dyDescent="0.25">
      <c r="B338" s="31" t="s">
        <v>6</v>
      </c>
      <c r="D338" s="32">
        <v>2003</v>
      </c>
      <c r="E338" s="31" t="s">
        <v>6</v>
      </c>
      <c r="F338" s="32" t="s">
        <v>248</v>
      </c>
      <c r="G338" s="32" t="s">
        <v>249</v>
      </c>
      <c r="H338" s="32" t="s">
        <v>97</v>
      </c>
      <c r="I338" s="33" t="s">
        <v>53</v>
      </c>
      <c r="J338" s="32" t="s">
        <v>93</v>
      </c>
      <c r="K338" s="34">
        <v>5</v>
      </c>
      <c r="L338" s="33"/>
      <c r="O338" s="34">
        <v>66</v>
      </c>
      <c r="P338" s="34">
        <v>10</v>
      </c>
      <c r="Q338" s="34" t="s">
        <v>94</v>
      </c>
      <c r="R338" s="34"/>
      <c r="S338" s="34" t="s">
        <v>122</v>
      </c>
      <c r="T338" s="32" t="s">
        <v>156</v>
      </c>
      <c r="U338" s="32" t="s">
        <v>110</v>
      </c>
      <c r="V338" s="34">
        <v>350</v>
      </c>
      <c r="W338" s="34" t="s">
        <v>89</v>
      </c>
      <c r="X338" s="32" t="str">
        <f t="shared" si="16"/>
        <v>Printed Band Roll 66X10 CM</v>
      </c>
      <c r="Y338" s="33" t="s">
        <v>525</v>
      </c>
      <c r="Z338" s="32" t="str">
        <f t="shared" si="17"/>
        <v>Band Roll 66x10 CM Die Cutting  350 Swedish Board</v>
      </c>
      <c r="AA338" s="32" t="str">
        <f t="shared" si="18"/>
        <v>Printed  Sticker 8.5X7.5 CM</v>
      </c>
      <c r="AB338" s="32" t="s">
        <v>1005</v>
      </c>
    </row>
    <row r="339" spans="2:28" x14ac:dyDescent="0.25">
      <c r="B339" s="31" t="s">
        <v>6</v>
      </c>
      <c r="D339" s="32">
        <v>2003</v>
      </c>
      <c r="E339" s="31" t="s">
        <v>6</v>
      </c>
      <c r="F339" s="32" t="s">
        <v>248</v>
      </c>
      <c r="G339" s="32" t="s">
        <v>249</v>
      </c>
      <c r="H339" s="32" t="s">
        <v>97</v>
      </c>
      <c r="I339" s="33" t="s">
        <v>121</v>
      </c>
      <c r="J339" s="32" t="s">
        <v>93</v>
      </c>
      <c r="K339" s="34">
        <v>4</v>
      </c>
      <c r="L339" s="33"/>
      <c r="O339" s="34">
        <v>67</v>
      </c>
      <c r="P339" s="34">
        <v>10</v>
      </c>
      <c r="Q339" s="34" t="s">
        <v>94</v>
      </c>
      <c r="R339" s="34"/>
      <c r="S339" s="34" t="s">
        <v>122</v>
      </c>
      <c r="T339" s="32" t="s">
        <v>156</v>
      </c>
      <c r="U339" s="32" t="s">
        <v>110</v>
      </c>
      <c r="V339" s="34">
        <v>350</v>
      </c>
      <c r="W339" s="34" t="s">
        <v>89</v>
      </c>
      <c r="X339" s="32" t="str">
        <f t="shared" si="16"/>
        <v>Printed Band Roll  67X10 CM</v>
      </c>
      <c r="Y339" s="33" t="s">
        <v>526</v>
      </c>
      <c r="Z339" s="32" t="str">
        <f t="shared" si="17"/>
        <v>Band Roll  67x10 CM Die Cutting  350 Swedish Board</v>
      </c>
      <c r="AA339" s="32" t="str">
        <f t="shared" si="18"/>
        <v>Printed  Sticker 4X1 Inch</v>
      </c>
      <c r="AB339" s="32" t="s">
        <v>1006</v>
      </c>
    </row>
    <row r="340" spans="2:28" x14ac:dyDescent="0.25">
      <c r="B340" s="31" t="s">
        <v>6</v>
      </c>
      <c r="D340" s="32">
        <v>2003</v>
      </c>
      <c r="E340" s="31" t="s">
        <v>6</v>
      </c>
      <c r="F340" s="32" t="s">
        <v>248</v>
      </c>
      <c r="G340" s="32" t="s">
        <v>249</v>
      </c>
      <c r="H340" s="32" t="s">
        <v>97</v>
      </c>
      <c r="I340" s="31" t="s">
        <v>342</v>
      </c>
      <c r="J340" s="32" t="s">
        <v>93</v>
      </c>
      <c r="K340" s="34">
        <v>2</v>
      </c>
      <c r="L340" s="33"/>
      <c r="O340" s="34">
        <v>26</v>
      </c>
      <c r="P340" s="34">
        <v>10</v>
      </c>
      <c r="Q340" s="34" t="s">
        <v>94</v>
      </c>
      <c r="R340" s="34"/>
      <c r="S340" s="34"/>
      <c r="T340" s="32" t="s">
        <v>156</v>
      </c>
      <c r="U340" s="34" t="s">
        <v>338</v>
      </c>
      <c r="V340" s="34">
        <v>200</v>
      </c>
      <c r="W340" s="34" t="s">
        <v>89</v>
      </c>
      <c r="X340" s="32" t="str">
        <f t="shared" si="16"/>
        <v>Printed Hanger  26X10 CM</v>
      </c>
      <c r="Y340" s="31" t="s">
        <v>527</v>
      </c>
      <c r="Z340" s="32" t="str">
        <f t="shared" si="17"/>
        <v>Hanger  26x10 CM Die Cutting  200 ART CARD</v>
      </c>
      <c r="AA340" s="32" t="str">
        <f t="shared" si="18"/>
        <v>Printed  Band Roll 70X17 CM</v>
      </c>
      <c r="AB340" s="32" t="s">
        <v>1007</v>
      </c>
    </row>
    <row r="341" spans="2:28" x14ac:dyDescent="0.25">
      <c r="B341" s="31" t="s">
        <v>6</v>
      </c>
      <c r="D341" s="32">
        <v>2003</v>
      </c>
      <c r="E341" s="31" t="s">
        <v>6</v>
      </c>
      <c r="F341" s="32" t="s">
        <v>248</v>
      </c>
      <c r="G341" s="32" t="s">
        <v>249</v>
      </c>
      <c r="H341" s="32" t="s">
        <v>97</v>
      </c>
      <c r="I341" s="31" t="s">
        <v>137</v>
      </c>
      <c r="J341" s="32" t="s">
        <v>93</v>
      </c>
      <c r="K341" s="34">
        <v>1</v>
      </c>
      <c r="L341" s="33"/>
      <c r="O341" s="34">
        <v>3</v>
      </c>
      <c r="P341" s="34">
        <v>4.5</v>
      </c>
      <c r="Q341" s="34" t="s">
        <v>94</v>
      </c>
      <c r="R341" s="34"/>
      <c r="S341" s="34"/>
      <c r="T341" s="34" t="s">
        <v>119</v>
      </c>
      <c r="U341" s="34" t="s">
        <v>128</v>
      </c>
      <c r="V341" s="34">
        <v>80</v>
      </c>
      <c r="W341" s="34" t="s">
        <v>89</v>
      </c>
      <c r="X341" s="32" t="str">
        <f t="shared" si="16"/>
        <v>Printed Carton Sticker  3X4.5 CM</v>
      </c>
      <c r="Y341" s="33" t="s">
        <v>528</v>
      </c>
      <c r="Z341" s="32" t="str">
        <f t="shared" si="17"/>
        <v>Carton Sticker  3x4.5 CM Pollar Cutting 80 Glossy Sticker</v>
      </c>
      <c r="AA341" s="32" t="str">
        <f t="shared" si="18"/>
        <v>Printed  Band Roll 32.9X6.5 CM</v>
      </c>
      <c r="AB341" s="32" t="s">
        <v>1008</v>
      </c>
    </row>
    <row r="342" spans="2:28" x14ac:dyDescent="0.25">
      <c r="B342" s="31" t="s">
        <v>6</v>
      </c>
      <c r="D342" s="32">
        <v>2003</v>
      </c>
      <c r="E342" s="31" t="s">
        <v>6</v>
      </c>
      <c r="F342" s="32" t="s">
        <v>248</v>
      </c>
      <c r="G342" s="32" t="s">
        <v>249</v>
      </c>
      <c r="H342" s="32" t="s">
        <v>97</v>
      </c>
      <c r="I342" s="33" t="s">
        <v>211</v>
      </c>
      <c r="J342" s="32" t="s">
        <v>93</v>
      </c>
      <c r="K342" s="34">
        <v>1</v>
      </c>
      <c r="L342" s="33"/>
      <c r="O342" s="34">
        <v>15</v>
      </c>
      <c r="P342" s="34">
        <v>10</v>
      </c>
      <c r="Q342" s="34" t="s">
        <v>94</v>
      </c>
      <c r="R342" s="34"/>
      <c r="S342" s="34"/>
      <c r="T342" s="34" t="s">
        <v>119</v>
      </c>
      <c r="U342" s="34" t="s">
        <v>128</v>
      </c>
      <c r="V342" s="34">
        <v>80</v>
      </c>
      <c r="W342" s="34" t="s">
        <v>89</v>
      </c>
      <c r="X342" s="32" t="str">
        <f t="shared" si="16"/>
        <v>Printed Shipping Mark  15X10 CM</v>
      </c>
      <c r="Y342" s="33" t="s">
        <v>529</v>
      </c>
      <c r="Z342" s="32" t="str">
        <f t="shared" si="17"/>
        <v>Shipping Mark  15x10 CM Pollar Cutting 80 Glossy Sticker</v>
      </c>
      <c r="AA342" s="32" t="str">
        <f t="shared" si="18"/>
        <v>Printed  Band Roll  54X17 CM</v>
      </c>
      <c r="AB342" s="32" t="s">
        <v>1009</v>
      </c>
    </row>
    <row r="343" spans="2:28" x14ac:dyDescent="0.25">
      <c r="B343" s="31" t="s">
        <v>6</v>
      </c>
      <c r="D343" s="32">
        <v>2003</v>
      </c>
      <c r="E343" s="31" t="s">
        <v>6</v>
      </c>
      <c r="F343" s="32" t="s">
        <v>248</v>
      </c>
      <c r="G343" s="32" t="s">
        <v>249</v>
      </c>
      <c r="H343" s="32" t="s">
        <v>97</v>
      </c>
      <c r="I343" s="33" t="s">
        <v>102</v>
      </c>
      <c r="J343" s="32" t="s">
        <v>93</v>
      </c>
      <c r="K343" s="34">
        <v>1</v>
      </c>
      <c r="L343" s="33"/>
      <c r="O343" s="34">
        <v>10</v>
      </c>
      <c r="P343" s="34">
        <v>5</v>
      </c>
      <c r="Q343" s="34" t="s">
        <v>94</v>
      </c>
      <c r="R343" s="34"/>
      <c r="S343" s="34"/>
      <c r="T343" s="34" t="s">
        <v>119</v>
      </c>
      <c r="U343" s="34" t="s">
        <v>128</v>
      </c>
      <c r="V343" s="34">
        <v>80</v>
      </c>
      <c r="W343" s="34" t="s">
        <v>89</v>
      </c>
      <c r="X343" s="32" t="str">
        <f t="shared" si="16"/>
        <v>Printed Sticker 10X5 CM</v>
      </c>
      <c r="Y343" s="33" t="s">
        <v>530</v>
      </c>
      <c r="Z343" s="32" t="str">
        <f t="shared" si="17"/>
        <v>Sticker 10x5 CM Pollar Cutting 80 Glossy Sticker</v>
      </c>
      <c r="AA343" s="32" t="str">
        <f t="shared" si="18"/>
        <v>Printed  Band Roll  40X10 CM</v>
      </c>
      <c r="AB343" s="32" t="s">
        <v>1010</v>
      </c>
    </row>
    <row r="344" spans="2:28" x14ac:dyDescent="0.25">
      <c r="B344" s="31" t="s">
        <v>6</v>
      </c>
      <c r="D344" s="32">
        <v>2003</v>
      </c>
      <c r="E344" s="31" t="s">
        <v>6</v>
      </c>
      <c r="F344" s="32" t="s">
        <v>248</v>
      </c>
      <c r="G344" s="32" t="s">
        <v>249</v>
      </c>
      <c r="H344" s="32" t="s">
        <v>97</v>
      </c>
      <c r="I344" s="31" t="s">
        <v>102</v>
      </c>
      <c r="J344" s="32" t="s">
        <v>93</v>
      </c>
      <c r="K344" s="34">
        <v>1</v>
      </c>
      <c r="L344" s="33"/>
      <c r="O344" s="34">
        <v>1.25</v>
      </c>
      <c r="P344" s="34">
        <v>0.5</v>
      </c>
      <c r="Q344" s="34" t="s">
        <v>94</v>
      </c>
      <c r="R344" s="34"/>
      <c r="S344" s="34"/>
      <c r="T344" s="34" t="s">
        <v>119</v>
      </c>
      <c r="U344" s="34" t="s">
        <v>128</v>
      </c>
      <c r="V344" s="34">
        <v>80</v>
      </c>
      <c r="W344" s="34" t="s">
        <v>89</v>
      </c>
      <c r="X344" s="32" t="str">
        <f t="shared" si="16"/>
        <v>Printed Sticker 1.25X0.5 CM</v>
      </c>
      <c r="Y344" s="33" t="s">
        <v>531</v>
      </c>
      <c r="Z344" s="32" t="str">
        <f t="shared" si="17"/>
        <v>Sticker 1.25x0.5 CM Pollar Cutting 80 Glossy Sticker</v>
      </c>
      <c r="AA344" s="32" t="str">
        <f t="shared" si="18"/>
        <v>Non Printed  Paper Band Roll  25X13 CM</v>
      </c>
      <c r="AB344" s="32" t="s">
        <v>1011</v>
      </c>
    </row>
    <row r="345" spans="2:28" x14ac:dyDescent="0.25">
      <c r="B345" s="31" t="s">
        <v>6</v>
      </c>
      <c r="D345" s="32">
        <v>2003</v>
      </c>
      <c r="E345" s="31" t="s">
        <v>6</v>
      </c>
      <c r="F345" s="32" t="s">
        <v>248</v>
      </c>
      <c r="G345" s="32" t="s">
        <v>249</v>
      </c>
      <c r="H345" s="32" t="s">
        <v>97</v>
      </c>
      <c r="I345" s="33" t="s">
        <v>656</v>
      </c>
      <c r="J345" s="32" t="s">
        <v>238</v>
      </c>
      <c r="L345" s="33"/>
      <c r="O345" s="34">
        <v>40</v>
      </c>
      <c r="Q345" s="34" t="s">
        <v>96</v>
      </c>
      <c r="R345" s="34"/>
      <c r="S345" s="34"/>
      <c r="T345" s="34" t="s">
        <v>119</v>
      </c>
      <c r="U345" s="34" t="s">
        <v>35</v>
      </c>
      <c r="V345" s="34">
        <v>80</v>
      </c>
      <c r="W345" s="34" t="s">
        <v>89</v>
      </c>
      <c r="X345" s="32" t="str">
        <f t="shared" si="16"/>
        <v>Non Printed Round Sticker  40X MM</v>
      </c>
      <c r="Y345" s="33" t="s">
        <v>532</v>
      </c>
      <c r="Z345" s="32" t="str">
        <f t="shared" si="17"/>
        <v>Round Sticker  40x MM Pollar Cutting 80 Transparent Sticker</v>
      </c>
      <c r="AA345" s="32" t="str">
        <f t="shared" si="18"/>
        <v>Non Printed  Paper Band Roll  35X13 CM</v>
      </c>
      <c r="AB345" s="32" t="s">
        <v>1012</v>
      </c>
    </row>
    <row r="346" spans="2:28" x14ac:dyDescent="0.25">
      <c r="B346" s="31" t="s">
        <v>6</v>
      </c>
      <c r="D346" s="32">
        <v>2003</v>
      </c>
      <c r="E346" s="31" t="s">
        <v>6</v>
      </c>
      <c r="F346" s="32" t="s">
        <v>248</v>
      </c>
      <c r="G346" s="32" t="s">
        <v>249</v>
      </c>
      <c r="H346" s="32" t="s">
        <v>97</v>
      </c>
      <c r="I346" s="31" t="s">
        <v>102</v>
      </c>
      <c r="J346" s="32" t="s">
        <v>93</v>
      </c>
      <c r="K346" s="34">
        <v>3</v>
      </c>
      <c r="L346" s="33"/>
      <c r="O346" s="34">
        <v>8.5</v>
      </c>
      <c r="P346" s="34">
        <v>7.5</v>
      </c>
      <c r="Q346" s="34" t="s">
        <v>94</v>
      </c>
      <c r="R346" s="34"/>
      <c r="S346" s="34"/>
      <c r="T346" s="34" t="s">
        <v>119</v>
      </c>
      <c r="U346" s="34" t="s">
        <v>128</v>
      </c>
      <c r="V346" s="34">
        <v>80</v>
      </c>
      <c r="W346" s="34" t="s">
        <v>89</v>
      </c>
      <c r="X346" s="32" t="str">
        <f t="shared" si="16"/>
        <v>Printed Sticker 8.5X7.5 CM</v>
      </c>
      <c r="Y346" s="33" t="s">
        <v>533</v>
      </c>
      <c r="Z346" s="32" t="str">
        <f t="shared" si="17"/>
        <v>Sticker 8.5x7.5 CM Pollar Cutting 80 Glossy Sticker</v>
      </c>
      <c r="AA346" s="32" t="str">
        <f t="shared" si="18"/>
        <v>Non Printed  Paper Band Roll  40X13 CM</v>
      </c>
      <c r="AB346" s="32" t="s">
        <v>1013</v>
      </c>
    </row>
    <row r="347" spans="2:28" x14ac:dyDescent="0.25">
      <c r="B347" s="31" t="s">
        <v>6</v>
      </c>
      <c r="D347" s="32">
        <v>2003</v>
      </c>
      <c r="E347" s="31" t="s">
        <v>6</v>
      </c>
      <c r="F347" s="32" t="s">
        <v>248</v>
      </c>
      <c r="G347" s="32" t="s">
        <v>249</v>
      </c>
      <c r="H347" s="32" t="s">
        <v>97</v>
      </c>
      <c r="I347" s="31" t="s">
        <v>102</v>
      </c>
      <c r="J347" s="32" t="s">
        <v>93</v>
      </c>
      <c r="K347" s="34">
        <v>2</v>
      </c>
      <c r="L347" s="33"/>
      <c r="O347" s="34">
        <v>4</v>
      </c>
      <c r="P347" s="34">
        <v>1</v>
      </c>
      <c r="Q347" s="34" t="s">
        <v>95</v>
      </c>
      <c r="R347" s="34"/>
      <c r="S347" s="34"/>
      <c r="T347" s="32" t="s">
        <v>156</v>
      </c>
      <c r="U347" s="34" t="s">
        <v>128</v>
      </c>
      <c r="V347" s="34">
        <v>80</v>
      </c>
      <c r="W347" s="34" t="s">
        <v>89</v>
      </c>
      <c r="X347" s="32" t="str">
        <f t="shared" si="16"/>
        <v>Printed Sticker 4X1 Inch</v>
      </c>
      <c r="Y347" s="33" t="s">
        <v>534</v>
      </c>
      <c r="Z347" s="32" t="str">
        <f t="shared" si="17"/>
        <v>Sticker 4x1 Inch Die Cutting  80 Glossy Sticker</v>
      </c>
      <c r="AA347" s="32" t="str">
        <f t="shared" si="18"/>
        <v>Non Printed  Paper Band Roll  38X13 CM</v>
      </c>
      <c r="AB347" s="32" t="s">
        <v>1014</v>
      </c>
    </row>
    <row r="348" spans="2:28" x14ac:dyDescent="0.25">
      <c r="B348" s="31" t="s">
        <v>6</v>
      </c>
      <c r="D348" s="32">
        <v>2003</v>
      </c>
      <c r="E348" s="31" t="s">
        <v>6</v>
      </c>
      <c r="F348" s="32" t="s">
        <v>248</v>
      </c>
      <c r="G348" s="32" t="s">
        <v>249</v>
      </c>
      <c r="H348" s="32" t="s">
        <v>97</v>
      </c>
      <c r="I348" s="35" t="s">
        <v>53</v>
      </c>
      <c r="J348" s="32" t="s">
        <v>93</v>
      </c>
      <c r="K348" s="34">
        <v>1</v>
      </c>
      <c r="L348" s="31"/>
      <c r="O348" s="36">
        <v>70</v>
      </c>
      <c r="P348" s="32">
        <v>17</v>
      </c>
      <c r="Q348" s="32" t="s">
        <v>94</v>
      </c>
      <c r="T348" s="32" t="s">
        <v>119</v>
      </c>
      <c r="U348" s="32" t="s">
        <v>106</v>
      </c>
      <c r="V348" s="32">
        <v>150</v>
      </c>
      <c r="W348" s="32" t="s">
        <v>89</v>
      </c>
      <c r="X348" s="32" t="str">
        <f t="shared" si="16"/>
        <v>Printed Band Roll 70X17 CM</v>
      </c>
      <c r="Y348" s="31" t="s">
        <v>535</v>
      </c>
      <c r="Z348" s="32" t="str">
        <f t="shared" si="17"/>
        <v>Band Roll 70x17 CM Pollar Cutting 150 Plastic Card</v>
      </c>
      <c r="AA348" s="32" t="str">
        <f t="shared" si="18"/>
        <v>Printed  Paper Band Roll  70X20 CM</v>
      </c>
      <c r="AB348" s="32" t="s">
        <v>719</v>
      </c>
    </row>
    <row r="349" spans="2:28" x14ac:dyDescent="0.25">
      <c r="B349" s="31" t="s">
        <v>6</v>
      </c>
      <c r="D349" s="32">
        <v>2003</v>
      </c>
      <c r="E349" s="31" t="s">
        <v>6</v>
      </c>
      <c r="F349" s="32" t="s">
        <v>248</v>
      </c>
      <c r="G349" s="32" t="s">
        <v>249</v>
      </c>
      <c r="H349" s="32" t="s">
        <v>97</v>
      </c>
      <c r="I349" s="35" t="s">
        <v>53</v>
      </c>
      <c r="J349" s="32" t="s">
        <v>93</v>
      </c>
      <c r="K349" s="34">
        <v>1</v>
      </c>
      <c r="L349" s="33"/>
      <c r="O349" s="36">
        <v>32.9</v>
      </c>
      <c r="P349" s="32">
        <v>6.5</v>
      </c>
      <c r="Q349" s="32" t="s">
        <v>94</v>
      </c>
      <c r="T349" s="32" t="s">
        <v>321</v>
      </c>
      <c r="U349" s="32" t="s">
        <v>141</v>
      </c>
      <c r="V349" s="32">
        <v>250</v>
      </c>
      <c r="W349" s="32" t="s">
        <v>89</v>
      </c>
      <c r="X349" s="32" t="str">
        <f t="shared" si="16"/>
        <v>Printed Band Roll 32.9X6.5 CM</v>
      </c>
      <c r="Y349" s="31" t="s">
        <v>536</v>
      </c>
      <c r="Z349" s="32" t="str">
        <f t="shared" si="17"/>
        <v>Band Roll 32.9x6.5 CM Die &amp; Pollar Cutting 250 Solid Card</v>
      </c>
      <c r="AA349" s="32" t="str">
        <f t="shared" si="18"/>
        <v>Printed  Band Roll  80X20 CM</v>
      </c>
      <c r="AB349" s="32" t="s">
        <v>1015</v>
      </c>
    </row>
    <row r="350" spans="2:28" x14ac:dyDescent="0.25">
      <c r="B350" s="31" t="s">
        <v>6</v>
      </c>
      <c r="D350" s="32">
        <v>2003</v>
      </c>
      <c r="E350" s="31" t="s">
        <v>6</v>
      </c>
      <c r="F350" s="32" t="s">
        <v>248</v>
      </c>
      <c r="G350" s="32" t="s">
        <v>249</v>
      </c>
      <c r="H350" s="32" t="s">
        <v>97</v>
      </c>
      <c r="I350" s="31" t="s">
        <v>121</v>
      </c>
      <c r="J350" s="32" t="s">
        <v>93</v>
      </c>
      <c r="K350" s="34">
        <v>1</v>
      </c>
      <c r="L350" s="33"/>
      <c r="O350" s="32">
        <v>54</v>
      </c>
      <c r="P350" s="32">
        <v>17</v>
      </c>
      <c r="Q350" s="32" t="s">
        <v>94</v>
      </c>
      <c r="T350" s="32" t="s">
        <v>156</v>
      </c>
      <c r="U350" s="32" t="s">
        <v>343</v>
      </c>
      <c r="V350" s="32">
        <v>205</v>
      </c>
      <c r="W350" s="32" t="s">
        <v>89</v>
      </c>
      <c r="X350" s="32" t="str">
        <f t="shared" si="16"/>
        <v>Printed Band Roll  54X17 CM</v>
      </c>
      <c r="Y350" s="31" t="s">
        <v>537</v>
      </c>
      <c r="Z350" s="32" t="str">
        <f t="shared" si="17"/>
        <v>Band Roll  54x17 CM Die Cutting  205 White Liner</v>
      </c>
      <c r="AA350" s="32" t="str">
        <f t="shared" si="18"/>
        <v>Printed  Band Roll 70X20 CM</v>
      </c>
      <c r="AB350" s="32" t="s">
        <v>1016</v>
      </c>
    </row>
    <row r="351" spans="2:28" x14ac:dyDescent="0.25">
      <c r="B351" s="31" t="s">
        <v>6</v>
      </c>
      <c r="D351" s="32">
        <v>2003</v>
      </c>
      <c r="E351" s="31" t="s">
        <v>6</v>
      </c>
      <c r="F351" s="32" t="s">
        <v>248</v>
      </c>
      <c r="G351" s="32" t="s">
        <v>249</v>
      </c>
      <c r="H351" s="32" t="s">
        <v>97</v>
      </c>
      <c r="I351" s="31" t="s">
        <v>121</v>
      </c>
      <c r="J351" s="32" t="s">
        <v>93</v>
      </c>
      <c r="K351" s="34">
        <v>4</v>
      </c>
      <c r="L351" s="33"/>
      <c r="O351" s="32">
        <v>40</v>
      </c>
      <c r="P351" s="32">
        <v>10</v>
      </c>
      <c r="Q351" s="32" t="s">
        <v>94</v>
      </c>
      <c r="T351" s="32" t="s">
        <v>156</v>
      </c>
      <c r="U351" s="32" t="s">
        <v>343</v>
      </c>
      <c r="V351" s="32">
        <v>205</v>
      </c>
      <c r="W351" s="32" t="s">
        <v>89</v>
      </c>
      <c r="X351" s="32" t="str">
        <f t="shared" si="16"/>
        <v>Printed Band Roll  40X10 CM</v>
      </c>
      <c r="Y351" s="31" t="s">
        <v>538</v>
      </c>
      <c r="Z351" s="32" t="str">
        <f t="shared" si="17"/>
        <v>Band Roll  40x10 CM Die Cutting  205 White Liner</v>
      </c>
      <c r="AA351" s="32" t="str">
        <f t="shared" si="18"/>
        <v>Printed  Band Roll 45X9 CM</v>
      </c>
      <c r="AB351" s="32" t="s">
        <v>1017</v>
      </c>
    </row>
    <row r="352" spans="2:28" x14ac:dyDescent="0.25">
      <c r="B352" s="31" t="s">
        <v>6</v>
      </c>
      <c r="D352" s="32">
        <v>2003</v>
      </c>
      <c r="E352" s="31" t="s">
        <v>6</v>
      </c>
      <c r="F352" s="32" t="s">
        <v>248</v>
      </c>
      <c r="G352" s="32" t="s">
        <v>249</v>
      </c>
      <c r="H352" s="32" t="s">
        <v>97</v>
      </c>
      <c r="I352" s="31" t="s">
        <v>654</v>
      </c>
      <c r="J352" s="32" t="s">
        <v>238</v>
      </c>
      <c r="L352" s="33"/>
      <c r="O352" s="32">
        <v>25</v>
      </c>
      <c r="P352" s="32">
        <v>13</v>
      </c>
      <c r="Q352" s="32" t="s">
        <v>94</v>
      </c>
      <c r="T352" s="32" t="s">
        <v>119</v>
      </c>
      <c r="U352" s="32" t="s">
        <v>344</v>
      </c>
      <c r="V352" s="32">
        <v>270</v>
      </c>
      <c r="W352" s="32" t="s">
        <v>89</v>
      </c>
      <c r="X352" s="32" t="str">
        <f t="shared" si="16"/>
        <v>Non Printed Paper Band Roll  25X13 CM</v>
      </c>
      <c r="Y352" s="31" t="s">
        <v>539</v>
      </c>
      <c r="Z352" s="32" t="str">
        <f t="shared" si="17"/>
        <v>Paper Band Roll  25x13 CM Pollar Cutting 270 Kraft Liner</v>
      </c>
      <c r="AA352" s="32" t="str">
        <f t="shared" si="18"/>
        <v>Printed  Paper Band Roll  99X12.05 CM</v>
      </c>
      <c r="AB352" s="32" t="s">
        <v>1018</v>
      </c>
    </row>
    <row r="353" spans="2:28" x14ac:dyDescent="0.25">
      <c r="B353" s="31" t="s">
        <v>6</v>
      </c>
      <c r="D353" s="32">
        <v>2003</v>
      </c>
      <c r="E353" s="31" t="s">
        <v>6</v>
      </c>
      <c r="F353" s="32" t="s">
        <v>248</v>
      </c>
      <c r="G353" s="32" t="s">
        <v>249</v>
      </c>
      <c r="H353" s="32" t="s">
        <v>97</v>
      </c>
      <c r="I353" s="31" t="s">
        <v>654</v>
      </c>
      <c r="J353" s="32" t="s">
        <v>238</v>
      </c>
      <c r="L353" s="33"/>
      <c r="O353" s="32">
        <v>35</v>
      </c>
      <c r="P353" s="32">
        <v>13</v>
      </c>
      <c r="Q353" s="32" t="s">
        <v>94</v>
      </c>
      <c r="T353" s="32" t="s">
        <v>119</v>
      </c>
      <c r="U353" s="32" t="s">
        <v>344</v>
      </c>
      <c r="V353" s="32">
        <v>270</v>
      </c>
      <c r="W353" s="32" t="s">
        <v>89</v>
      </c>
      <c r="X353" s="32" t="str">
        <f t="shared" si="16"/>
        <v>Non Printed Paper Band Roll  35X13 CM</v>
      </c>
      <c r="Y353" s="31" t="s">
        <v>540</v>
      </c>
      <c r="Z353" s="32" t="str">
        <f t="shared" si="17"/>
        <v>Paper Band Roll  35x13 CM Pollar Cutting 270 Kraft Liner</v>
      </c>
      <c r="AA353" s="32" t="str">
        <f t="shared" si="18"/>
        <v>Printed  Paper Band Roll  68X12.05 CM</v>
      </c>
      <c r="AB353" s="32" t="s">
        <v>1019</v>
      </c>
    </row>
    <row r="354" spans="2:28" x14ac:dyDescent="0.25">
      <c r="B354" s="31" t="s">
        <v>6</v>
      </c>
      <c r="D354" s="32">
        <v>2003</v>
      </c>
      <c r="E354" s="31" t="s">
        <v>6</v>
      </c>
      <c r="F354" s="32" t="s">
        <v>248</v>
      </c>
      <c r="G354" s="32" t="s">
        <v>249</v>
      </c>
      <c r="H354" s="32" t="s">
        <v>97</v>
      </c>
      <c r="I354" s="31" t="s">
        <v>654</v>
      </c>
      <c r="J354" s="32" t="s">
        <v>238</v>
      </c>
      <c r="L354" s="33"/>
      <c r="O354" s="32">
        <v>40</v>
      </c>
      <c r="P354" s="32">
        <v>13</v>
      </c>
      <c r="Q354" s="32" t="s">
        <v>94</v>
      </c>
      <c r="T354" s="32" t="s">
        <v>119</v>
      </c>
      <c r="U354" s="32" t="s">
        <v>344</v>
      </c>
      <c r="V354" s="32">
        <v>270</v>
      </c>
      <c r="W354" s="32" t="s">
        <v>89</v>
      </c>
      <c r="X354" s="32" t="str">
        <f t="shared" si="16"/>
        <v>Non Printed Paper Band Roll  40X13 CM</v>
      </c>
      <c r="Y354" s="31" t="s">
        <v>541</v>
      </c>
      <c r="Z354" s="32" t="str">
        <f t="shared" si="17"/>
        <v>Paper Band Roll  40x13 CM Pollar Cutting 270 Kraft Liner</v>
      </c>
      <c r="AA354" s="32" t="str">
        <f t="shared" si="18"/>
        <v>Printed  Paper Band Roll  47.5X12.05 CM</v>
      </c>
      <c r="AB354" s="32" t="s">
        <v>1020</v>
      </c>
    </row>
    <row r="355" spans="2:28" x14ac:dyDescent="0.25">
      <c r="B355" s="31" t="s">
        <v>6</v>
      </c>
      <c r="D355" s="32">
        <v>2003</v>
      </c>
      <c r="E355" s="31" t="s">
        <v>6</v>
      </c>
      <c r="F355" s="32" t="s">
        <v>248</v>
      </c>
      <c r="G355" s="32" t="s">
        <v>249</v>
      </c>
      <c r="H355" s="32" t="s">
        <v>97</v>
      </c>
      <c r="I355" s="31" t="s">
        <v>654</v>
      </c>
      <c r="J355" s="32" t="s">
        <v>238</v>
      </c>
      <c r="L355" s="33"/>
      <c r="O355" s="32">
        <v>38</v>
      </c>
      <c r="P355" s="32">
        <v>13</v>
      </c>
      <c r="Q355" s="32" t="s">
        <v>94</v>
      </c>
      <c r="T355" s="32" t="s">
        <v>119</v>
      </c>
      <c r="U355" s="32" t="s">
        <v>344</v>
      </c>
      <c r="V355" s="32">
        <v>270</v>
      </c>
      <c r="W355" s="32" t="s">
        <v>89</v>
      </c>
      <c r="X355" s="32" t="str">
        <f t="shared" si="16"/>
        <v>Non Printed Paper Band Roll  38X13 CM</v>
      </c>
      <c r="Y355" s="31" t="s">
        <v>542</v>
      </c>
      <c r="Z355" s="32" t="str">
        <f t="shared" si="17"/>
        <v>Paper Band Roll  38x13 CM Pollar Cutting 270 Kraft Liner</v>
      </c>
      <c r="AA355" s="32" t="str">
        <f t="shared" si="18"/>
        <v>Printed  Paper Band Roll  47X12.05 CM</v>
      </c>
      <c r="AB355" s="32" t="s">
        <v>1021</v>
      </c>
    </row>
    <row r="356" spans="2:28" x14ac:dyDescent="0.25">
      <c r="B356" s="31" t="s">
        <v>6</v>
      </c>
      <c r="D356" s="32">
        <v>2003</v>
      </c>
      <c r="E356" s="31" t="s">
        <v>6</v>
      </c>
      <c r="F356" s="32" t="s">
        <v>248</v>
      </c>
      <c r="G356" s="32" t="s">
        <v>249</v>
      </c>
      <c r="H356" s="32" t="s">
        <v>97</v>
      </c>
      <c r="I356" s="31" t="s">
        <v>654</v>
      </c>
      <c r="J356" s="32" t="s">
        <v>93</v>
      </c>
      <c r="K356" s="34">
        <v>1</v>
      </c>
      <c r="L356" s="33"/>
      <c r="O356" s="32">
        <v>70</v>
      </c>
      <c r="P356" s="32">
        <v>20</v>
      </c>
      <c r="Q356" s="32" t="s">
        <v>94</v>
      </c>
      <c r="S356" s="32" t="s">
        <v>213</v>
      </c>
      <c r="T356" s="32" t="s">
        <v>156</v>
      </c>
      <c r="U356" s="32" t="s">
        <v>350</v>
      </c>
      <c r="V356" s="32">
        <v>220</v>
      </c>
      <c r="W356" s="32" t="s">
        <v>89</v>
      </c>
      <c r="X356" s="32" t="str">
        <f t="shared" si="16"/>
        <v>Printed Paper Band Roll  70X20 CM</v>
      </c>
      <c r="Y356" s="31" t="s">
        <v>543</v>
      </c>
      <c r="Z356" s="32" t="str">
        <f t="shared" si="17"/>
        <v xml:space="preserve">Paper Band Roll  70x20 CM Die Cutting  220 Solid Blached </v>
      </c>
      <c r="AA356" s="32" t="str">
        <f t="shared" si="18"/>
        <v>Printed  Header Card 15.5X6 CM</v>
      </c>
      <c r="AB356" s="32" t="s">
        <v>1022</v>
      </c>
    </row>
    <row r="357" spans="2:28" x14ac:dyDescent="0.25">
      <c r="B357" s="31" t="s">
        <v>6</v>
      </c>
      <c r="D357" s="32">
        <v>2003</v>
      </c>
      <c r="E357" s="31" t="s">
        <v>6</v>
      </c>
      <c r="F357" s="32" t="s">
        <v>248</v>
      </c>
      <c r="G357" s="32" t="s">
        <v>249</v>
      </c>
      <c r="H357" s="32" t="s">
        <v>97</v>
      </c>
      <c r="I357" s="31" t="s">
        <v>121</v>
      </c>
      <c r="J357" s="32" t="s">
        <v>93</v>
      </c>
      <c r="K357" s="34">
        <v>1</v>
      </c>
      <c r="L357" s="33"/>
      <c r="O357" s="32">
        <v>80</v>
      </c>
      <c r="P357" s="32">
        <v>20</v>
      </c>
      <c r="Q357" s="32" t="s">
        <v>94</v>
      </c>
      <c r="S357" s="32" t="s">
        <v>213</v>
      </c>
      <c r="T357" s="32" t="s">
        <v>119</v>
      </c>
      <c r="U357" s="32" t="s">
        <v>350</v>
      </c>
      <c r="V357" s="32">
        <v>220</v>
      </c>
      <c r="W357" s="32" t="s">
        <v>89</v>
      </c>
      <c r="X357" s="32" t="str">
        <f t="shared" si="16"/>
        <v>Printed Band Roll  80X20 CM</v>
      </c>
      <c r="Y357" s="31" t="s">
        <v>544</v>
      </c>
      <c r="Z357" s="32" t="str">
        <f t="shared" si="17"/>
        <v xml:space="preserve">Band Roll  80x20 CM Pollar Cutting 220 Solid Blached </v>
      </c>
      <c r="AA357" s="32" t="str">
        <f t="shared" si="18"/>
        <v>Printed  Header Card 20X7 CM</v>
      </c>
      <c r="AB357" s="32" t="s">
        <v>1023</v>
      </c>
    </row>
    <row r="358" spans="2:28" x14ac:dyDescent="0.25">
      <c r="B358" s="31" t="s">
        <v>6</v>
      </c>
      <c r="D358" s="32">
        <v>2003</v>
      </c>
      <c r="E358" s="31" t="s">
        <v>6</v>
      </c>
      <c r="F358" s="32" t="s">
        <v>248</v>
      </c>
      <c r="G358" s="32" t="s">
        <v>249</v>
      </c>
      <c r="H358" s="32" t="s">
        <v>97</v>
      </c>
      <c r="I358" s="35" t="s">
        <v>53</v>
      </c>
      <c r="J358" s="32" t="s">
        <v>93</v>
      </c>
      <c r="K358" s="34">
        <v>1</v>
      </c>
      <c r="L358" s="33"/>
      <c r="O358" s="32">
        <v>70</v>
      </c>
      <c r="P358" s="32">
        <v>20</v>
      </c>
      <c r="Q358" s="32" t="s">
        <v>94</v>
      </c>
      <c r="S358" s="32" t="s">
        <v>213</v>
      </c>
      <c r="T358" s="32" t="s">
        <v>119</v>
      </c>
      <c r="U358" s="32" t="s">
        <v>350</v>
      </c>
      <c r="V358" s="32">
        <v>220</v>
      </c>
      <c r="W358" s="32" t="s">
        <v>89</v>
      </c>
      <c r="X358" s="32" t="str">
        <f t="shared" si="16"/>
        <v>Printed Band Roll 70X20 CM</v>
      </c>
      <c r="Y358" s="31" t="s">
        <v>545</v>
      </c>
      <c r="Z358" s="32" t="str">
        <f t="shared" si="17"/>
        <v xml:space="preserve">Band Roll 70x20 CM Pollar Cutting 220 Solid Blached </v>
      </c>
      <c r="AA358" s="32" t="str">
        <f t="shared" si="18"/>
        <v>Printed  Header Card 23.5X11 CM</v>
      </c>
      <c r="AB358" s="32" t="s">
        <v>1024</v>
      </c>
    </row>
    <row r="359" spans="2:28" x14ac:dyDescent="0.25">
      <c r="B359" s="31" t="s">
        <v>6</v>
      </c>
      <c r="D359" s="32">
        <v>2003</v>
      </c>
      <c r="E359" s="31" t="s">
        <v>6</v>
      </c>
      <c r="F359" s="32" t="s">
        <v>248</v>
      </c>
      <c r="G359" s="32" t="s">
        <v>249</v>
      </c>
      <c r="H359" s="32" t="s">
        <v>97</v>
      </c>
      <c r="I359" s="35" t="s">
        <v>53</v>
      </c>
      <c r="J359" s="32" t="s">
        <v>93</v>
      </c>
      <c r="K359" s="34">
        <v>2</v>
      </c>
      <c r="L359" s="33"/>
      <c r="O359" s="32">
        <v>45</v>
      </c>
      <c r="P359" s="32">
        <v>9</v>
      </c>
      <c r="Q359" s="32" t="s">
        <v>94</v>
      </c>
      <c r="S359" s="32" t="s">
        <v>213</v>
      </c>
      <c r="T359" s="32" t="s">
        <v>156</v>
      </c>
      <c r="U359" s="32" t="s">
        <v>344</v>
      </c>
      <c r="V359" s="32">
        <v>270</v>
      </c>
      <c r="W359" s="32" t="s">
        <v>89</v>
      </c>
      <c r="X359" s="32" t="str">
        <f t="shared" si="16"/>
        <v>Printed Band Roll 45X9 CM</v>
      </c>
      <c r="Y359" s="31" t="s">
        <v>546</v>
      </c>
      <c r="Z359" s="32" t="str">
        <f t="shared" si="17"/>
        <v>Band Roll 45x9 CM Die Cutting  270 Kraft Liner</v>
      </c>
      <c r="AA359" s="32" t="str">
        <f t="shared" si="18"/>
        <v>Printed  Header Card 14.2X10 CM</v>
      </c>
      <c r="AB359" s="32" t="s">
        <v>1025</v>
      </c>
    </row>
    <row r="360" spans="2:28" x14ac:dyDescent="0.25">
      <c r="B360" s="31" t="s">
        <v>6</v>
      </c>
      <c r="D360" s="32">
        <v>2003</v>
      </c>
      <c r="E360" s="31" t="s">
        <v>6</v>
      </c>
      <c r="F360" s="32" t="s">
        <v>248</v>
      </c>
      <c r="G360" s="32" t="s">
        <v>249</v>
      </c>
      <c r="H360" s="32" t="s">
        <v>97</v>
      </c>
      <c r="I360" s="31" t="s">
        <v>654</v>
      </c>
      <c r="J360" s="32" t="s">
        <v>93</v>
      </c>
      <c r="K360" s="34">
        <v>4</v>
      </c>
      <c r="O360" s="32">
        <v>99</v>
      </c>
      <c r="P360" s="32">
        <v>12.05</v>
      </c>
      <c r="Q360" s="32" t="s">
        <v>94</v>
      </c>
      <c r="S360" s="32" t="s">
        <v>213</v>
      </c>
      <c r="T360" s="32" t="s">
        <v>119</v>
      </c>
      <c r="U360" s="32" t="s">
        <v>106</v>
      </c>
      <c r="V360" s="32">
        <v>150</v>
      </c>
      <c r="W360" s="32" t="s">
        <v>89</v>
      </c>
      <c r="X360" s="32" t="str">
        <f t="shared" si="16"/>
        <v>Printed Paper Band Roll  99X12.05 CM</v>
      </c>
      <c r="Y360" s="33" t="s">
        <v>547</v>
      </c>
      <c r="Z360" s="32" t="str">
        <f t="shared" si="17"/>
        <v>Paper Band Roll  99x12.05 CM Pollar Cutting 150 Plastic Card</v>
      </c>
      <c r="AA360" s="32" t="str">
        <f t="shared" si="18"/>
        <v>Printed  Header Card 16.5X8 CM</v>
      </c>
      <c r="AB360" s="32" t="s">
        <v>1026</v>
      </c>
    </row>
    <row r="361" spans="2:28" x14ac:dyDescent="0.25">
      <c r="B361" s="31" t="s">
        <v>6</v>
      </c>
      <c r="D361" s="32">
        <v>2003</v>
      </c>
      <c r="E361" s="31" t="s">
        <v>6</v>
      </c>
      <c r="F361" s="32" t="s">
        <v>248</v>
      </c>
      <c r="G361" s="32" t="s">
        <v>249</v>
      </c>
      <c r="H361" s="32" t="s">
        <v>97</v>
      </c>
      <c r="I361" s="31" t="s">
        <v>654</v>
      </c>
      <c r="J361" s="32" t="s">
        <v>93</v>
      </c>
      <c r="K361" s="34">
        <v>4</v>
      </c>
      <c r="O361" s="32">
        <v>68</v>
      </c>
      <c r="P361" s="32">
        <v>12.05</v>
      </c>
      <c r="Q361" s="32" t="s">
        <v>94</v>
      </c>
      <c r="S361" s="32" t="s">
        <v>213</v>
      </c>
      <c r="T361" s="32" t="s">
        <v>119</v>
      </c>
      <c r="U361" s="32" t="s">
        <v>106</v>
      </c>
      <c r="V361" s="32">
        <v>150</v>
      </c>
      <c r="W361" s="32" t="s">
        <v>89</v>
      </c>
      <c r="X361" s="32" t="str">
        <f t="shared" si="16"/>
        <v>Printed Paper Band Roll  68X12.05 CM</v>
      </c>
      <c r="Y361" s="33" t="s">
        <v>548</v>
      </c>
      <c r="Z361" s="32" t="str">
        <f t="shared" si="17"/>
        <v>Paper Band Roll  68x12.05 CM Pollar Cutting 150 Plastic Card</v>
      </c>
      <c r="AA361" s="32" t="str">
        <f t="shared" si="18"/>
        <v>Printed  Header Card 8X6 CM</v>
      </c>
      <c r="AB361" s="32" t="s">
        <v>1027</v>
      </c>
    </row>
    <row r="362" spans="2:28" x14ac:dyDescent="0.25">
      <c r="B362" s="31" t="s">
        <v>6</v>
      </c>
      <c r="D362" s="32">
        <v>2003</v>
      </c>
      <c r="E362" s="31" t="s">
        <v>6</v>
      </c>
      <c r="F362" s="32" t="s">
        <v>248</v>
      </c>
      <c r="G362" s="32" t="s">
        <v>249</v>
      </c>
      <c r="H362" s="32" t="s">
        <v>97</v>
      </c>
      <c r="I362" s="31" t="s">
        <v>654</v>
      </c>
      <c r="J362" s="32" t="s">
        <v>93</v>
      </c>
      <c r="K362" s="34">
        <v>4</v>
      </c>
      <c r="O362" s="32">
        <v>47.5</v>
      </c>
      <c r="P362" s="32">
        <v>12.05</v>
      </c>
      <c r="Q362" s="32" t="s">
        <v>94</v>
      </c>
      <c r="S362" s="32" t="s">
        <v>213</v>
      </c>
      <c r="T362" s="32" t="s">
        <v>119</v>
      </c>
      <c r="U362" s="32" t="s">
        <v>106</v>
      </c>
      <c r="V362" s="32">
        <v>150</v>
      </c>
      <c r="W362" s="32" t="s">
        <v>89</v>
      </c>
      <c r="X362" s="32" t="str">
        <f t="shared" si="16"/>
        <v>Printed Paper Band Roll  47.5X12.05 CM</v>
      </c>
      <c r="Y362" s="33" t="s">
        <v>549</v>
      </c>
      <c r="Z362" s="32" t="str">
        <f t="shared" si="17"/>
        <v>Paper Band Roll  47.5x12.05 CM Pollar Cutting 150 Plastic Card</v>
      </c>
      <c r="AA362" s="32" t="str">
        <f t="shared" si="18"/>
        <v>Printed  Header Card 14.9X6.6 CM</v>
      </c>
      <c r="AB362" s="32" t="s">
        <v>1028</v>
      </c>
    </row>
    <row r="363" spans="2:28" x14ac:dyDescent="0.25">
      <c r="B363" s="31" t="s">
        <v>6</v>
      </c>
      <c r="D363" s="32">
        <v>2003</v>
      </c>
      <c r="E363" s="31" t="s">
        <v>6</v>
      </c>
      <c r="F363" s="32" t="s">
        <v>248</v>
      </c>
      <c r="G363" s="32" t="s">
        <v>249</v>
      </c>
      <c r="H363" s="32" t="s">
        <v>97</v>
      </c>
      <c r="I363" s="31" t="s">
        <v>654</v>
      </c>
      <c r="J363" s="32" t="s">
        <v>93</v>
      </c>
      <c r="K363" s="34">
        <v>47</v>
      </c>
      <c r="O363" s="32">
        <v>47</v>
      </c>
      <c r="P363" s="32">
        <v>12.05</v>
      </c>
      <c r="Q363" s="32" t="s">
        <v>94</v>
      </c>
      <c r="S363" s="32" t="s">
        <v>213</v>
      </c>
      <c r="T363" s="32" t="s">
        <v>119</v>
      </c>
      <c r="U363" s="32" t="s">
        <v>106</v>
      </c>
      <c r="V363" s="32">
        <v>150</v>
      </c>
      <c r="W363" s="32" t="s">
        <v>89</v>
      </c>
      <c r="X363" s="32" t="str">
        <f t="shared" si="16"/>
        <v>Printed Paper Band Roll  47X12.05 CM</v>
      </c>
      <c r="Y363" s="33" t="s">
        <v>550</v>
      </c>
      <c r="Z363" s="32" t="str">
        <f t="shared" si="17"/>
        <v>Paper Band Roll  47x12.05 CM Pollar Cutting 150 Plastic Card</v>
      </c>
      <c r="AA363" s="32" t="str">
        <f t="shared" si="18"/>
        <v>Printed  Header Card 18X15 CM</v>
      </c>
      <c r="AB363" s="32" t="s">
        <v>1029</v>
      </c>
    </row>
    <row r="364" spans="2:28" x14ac:dyDescent="0.25">
      <c r="B364" s="31" t="s">
        <v>6</v>
      </c>
      <c r="D364" s="32">
        <v>2003</v>
      </c>
      <c r="E364" s="31" t="s">
        <v>6</v>
      </c>
      <c r="F364" s="32" t="s">
        <v>248</v>
      </c>
      <c r="G364" s="32" t="s">
        <v>249</v>
      </c>
      <c r="H364" s="32" t="s">
        <v>97</v>
      </c>
      <c r="I364" s="31" t="s">
        <v>57</v>
      </c>
      <c r="J364" s="32" t="s">
        <v>93</v>
      </c>
      <c r="K364" s="34">
        <v>1</v>
      </c>
      <c r="O364" s="32">
        <v>15.5</v>
      </c>
      <c r="P364" s="32">
        <v>6</v>
      </c>
      <c r="Q364" s="32" t="s">
        <v>94</v>
      </c>
      <c r="T364" s="32" t="s">
        <v>156</v>
      </c>
      <c r="U364" s="32" t="s">
        <v>110</v>
      </c>
      <c r="V364" s="32">
        <v>300</v>
      </c>
      <c r="W364" s="32" t="s">
        <v>89</v>
      </c>
      <c r="X364" s="32" t="str">
        <f t="shared" si="16"/>
        <v>Printed Header Card 15.5X6 CM</v>
      </c>
      <c r="Y364" s="31" t="s">
        <v>551</v>
      </c>
      <c r="Z364" s="32" t="str">
        <f t="shared" si="17"/>
        <v>Header Card 15.5x6 CM Die Cutting  300 Swedish Board</v>
      </c>
      <c r="AA364" s="32" t="str">
        <f t="shared" si="18"/>
        <v>Printed  Header Card 24X7 CM</v>
      </c>
      <c r="AB364" s="32" t="s">
        <v>1030</v>
      </c>
    </row>
    <row r="365" spans="2:28" x14ac:dyDescent="0.25">
      <c r="B365" s="31" t="s">
        <v>6</v>
      </c>
      <c r="D365" s="32">
        <v>2003</v>
      </c>
      <c r="E365" s="31" t="s">
        <v>6</v>
      </c>
      <c r="F365" s="32" t="s">
        <v>248</v>
      </c>
      <c r="G365" s="32" t="s">
        <v>249</v>
      </c>
      <c r="H365" s="32" t="s">
        <v>97</v>
      </c>
      <c r="I365" s="31" t="s">
        <v>57</v>
      </c>
      <c r="J365" s="32" t="s">
        <v>93</v>
      </c>
      <c r="K365" s="34">
        <v>1</v>
      </c>
      <c r="O365" s="32">
        <v>20</v>
      </c>
      <c r="P365" s="32">
        <v>7</v>
      </c>
      <c r="Q365" s="32" t="s">
        <v>94</v>
      </c>
      <c r="T365" s="32" t="s">
        <v>156</v>
      </c>
      <c r="U365" s="32" t="s">
        <v>348</v>
      </c>
      <c r="V365" s="32">
        <v>300</v>
      </c>
      <c r="W365" s="32" t="s">
        <v>89</v>
      </c>
      <c r="X365" s="32" t="str">
        <f t="shared" si="16"/>
        <v>Printed Header Card 20X7 CM</v>
      </c>
      <c r="Y365" s="33" t="s">
        <v>552</v>
      </c>
      <c r="Z365" s="32" t="str">
        <f t="shared" si="17"/>
        <v>Header Card 20x7 CM Die Cutting  300 Art card</v>
      </c>
      <c r="AA365" s="32" t="str">
        <f t="shared" si="18"/>
        <v>Printed  Header Card 8X8 CM</v>
      </c>
      <c r="AB365" s="32" t="s">
        <v>1031</v>
      </c>
    </row>
    <row r="366" spans="2:28" x14ac:dyDescent="0.25">
      <c r="B366" s="31" t="s">
        <v>6</v>
      </c>
      <c r="D366" s="32">
        <v>2003</v>
      </c>
      <c r="E366" s="31" t="s">
        <v>6</v>
      </c>
      <c r="F366" s="32" t="s">
        <v>248</v>
      </c>
      <c r="G366" s="32" t="s">
        <v>249</v>
      </c>
      <c r="H366" s="32" t="s">
        <v>97</v>
      </c>
      <c r="I366" s="31" t="s">
        <v>57</v>
      </c>
      <c r="J366" s="32" t="s">
        <v>93</v>
      </c>
      <c r="K366" s="34">
        <v>1</v>
      </c>
      <c r="O366" s="32">
        <v>23.5</v>
      </c>
      <c r="P366" s="32">
        <v>11</v>
      </c>
      <c r="Q366" s="32" t="s">
        <v>94</v>
      </c>
      <c r="T366" s="32" t="s">
        <v>156</v>
      </c>
      <c r="U366" s="32" t="s">
        <v>348</v>
      </c>
      <c r="V366" s="32">
        <v>300</v>
      </c>
      <c r="W366" s="32" t="s">
        <v>89</v>
      </c>
      <c r="X366" s="32" t="str">
        <f t="shared" si="16"/>
        <v>Printed Header Card 23.5X11 CM</v>
      </c>
      <c r="Y366" s="33" t="s">
        <v>553</v>
      </c>
      <c r="Z366" s="32" t="str">
        <f t="shared" si="17"/>
        <v>Header Card 23.5x11 CM Die Cutting  300 Art card</v>
      </c>
      <c r="AA366" s="32" t="str">
        <f t="shared" si="18"/>
        <v>Printed  Adhesive Paper A4 29.7X21 CM</v>
      </c>
      <c r="AB366" s="32" t="s">
        <v>1032</v>
      </c>
    </row>
    <row r="367" spans="2:28" x14ac:dyDescent="0.25">
      <c r="B367" s="31" t="s">
        <v>6</v>
      </c>
      <c r="D367" s="32">
        <v>2003</v>
      </c>
      <c r="E367" s="31" t="s">
        <v>6</v>
      </c>
      <c r="F367" s="32" t="s">
        <v>248</v>
      </c>
      <c r="G367" s="32" t="s">
        <v>249</v>
      </c>
      <c r="H367" s="32" t="s">
        <v>97</v>
      </c>
      <c r="I367" s="31" t="s">
        <v>57</v>
      </c>
      <c r="J367" s="32" t="s">
        <v>93</v>
      </c>
      <c r="K367" s="34">
        <v>4</v>
      </c>
      <c r="O367" s="32">
        <v>14.2</v>
      </c>
      <c r="P367" s="32">
        <v>10</v>
      </c>
      <c r="Q367" s="32" t="s">
        <v>94</v>
      </c>
      <c r="T367" s="32" t="s">
        <v>156</v>
      </c>
      <c r="U367" s="32" t="s">
        <v>141</v>
      </c>
      <c r="V367" s="32">
        <v>250</v>
      </c>
      <c r="W367" s="32" t="s">
        <v>89</v>
      </c>
      <c r="X367" s="32" t="str">
        <f t="shared" si="16"/>
        <v>Printed Header Card 14.2X10 CM</v>
      </c>
      <c r="Y367" s="33" t="s">
        <v>554</v>
      </c>
      <c r="Z367" s="32" t="str">
        <f t="shared" si="17"/>
        <v>Header Card 14.2x10 CM Die Cutting  250 Solid Card</v>
      </c>
      <c r="AA367" s="32" t="str">
        <f t="shared" si="18"/>
        <v>Printed  Bale Paper 29.7X21 CM</v>
      </c>
      <c r="AB367" s="32" t="s">
        <v>1033</v>
      </c>
    </row>
    <row r="368" spans="2:28" x14ac:dyDescent="0.25">
      <c r="B368" s="31" t="s">
        <v>6</v>
      </c>
      <c r="D368" s="32">
        <v>2003</v>
      </c>
      <c r="E368" s="31" t="s">
        <v>6</v>
      </c>
      <c r="F368" s="32" t="s">
        <v>248</v>
      </c>
      <c r="G368" s="32" t="s">
        <v>249</v>
      </c>
      <c r="H368" s="32" t="s">
        <v>97</v>
      </c>
      <c r="I368" s="31" t="s">
        <v>57</v>
      </c>
      <c r="J368" s="32" t="s">
        <v>93</v>
      </c>
      <c r="K368" s="34">
        <v>1</v>
      </c>
      <c r="O368" s="32">
        <v>16.5</v>
      </c>
      <c r="P368" s="32">
        <v>8</v>
      </c>
      <c r="Q368" s="32" t="s">
        <v>94</v>
      </c>
      <c r="T368" s="32" t="s">
        <v>156</v>
      </c>
      <c r="U368" s="32" t="s">
        <v>344</v>
      </c>
      <c r="V368" s="32">
        <v>270</v>
      </c>
      <c r="W368" s="32" t="s">
        <v>89</v>
      </c>
      <c r="X368" s="32" t="str">
        <f t="shared" si="16"/>
        <v>Printed Header Card 16.5X8 CM</v>
      </c>
      <c r="Y368" s="33" t="s">
        <v>555</v>
      </c>
      <c r="Z368" s="32" t="str">
        <f t="shared" si="17"/>
        <v>Header Card 16.5x8 CM Die Cutting  270 Kraft Liner</v>
      </c>
      <c r="AA368" s="32" t="str">
        <f t="shared" si="18"/>
        <v>Printed  Skin Paper 17X13 CM</v>
      </c>
      <c r="AB368" s="32" t="s">
        <v>1034</v>
      </c>
    </row>
    <row r="369" spans="2:28" x14ac:dyDescent="0.25">
      <c r="B369" s="31" t="s">
        <v>6</v>
      </c>
      <c r="D369" s="32">
        <v>2003</v>
      </c>
      <c r="E369" s="31" t="s">
        <v>6</v>
      </c>
      <c r="F369" s="32" t="s">
        <v>248</v>
      </c>
      <c r="G369" s="32" t="s">
        <v>249</v>
      </c>
      <c r="H369" s="32" t="s">
        <v>97</v>
      </c>
      <c r="I369" s="31" t="s">
        <v>57</v>
      </c>
      <c r="J369" s="32" t="s">
        <v>93</v>
      </c>
      <c r="K369" s="34">
        <v>5</v>
      </c>
      <c r="O369" s="32">
        <v>8</v>
      </c>
      <c r="P369" s="32">
        <v>6</v>
      </c>
      <c r="Q369" s="32" t="s">
        <v>94</v>
      </c>
      <c r="T369" s="32" t="s">
        <v>156</v>
      </c>
      <c r="U369" s="32" t="s">
        <v>344</v>
      </c>
      <c r="V369" s="32">
        <v>270</v>
      </c>
      <c r="W369" s="32" t="s">
        <v>89</v>
      </c>
      <c r="X369" s="32" t="str">
        <f t="shared" si="16"/>
        <v>Printed Header Card 8X6 CM</v>
      </c>
      <c r="Y369" s="33" t="s">
        <v>556</v>
      </c>
      <c r="Z369" s="32" t="str">
        <f t="shared" si="17"/>
        <v>Header Card 8x6 CM Die Cutting  270 Kraft Liner</v>
      </c>
      <c r="AA369" s="32" t="str">
        <f t="shared" si="18"/>
        <v>Printed  Inlay Card 13X13 CM</v>
      </c>
      <c r="AB369" s="32" t="s">
        <v>1035</v>
      </c>
    </row>
    <row r="370" spans="2:28" x14ac:dyDescent="0.25">
      <c r="B370" s="31" t="s">
        <v>6</v>
      </c>
      <c r="D370" s="32">
        <v>2003</v>
      </c>
      <c r="E370" s="31" t="s">
        <v>6</v>
      </c>
      <c r="F370" s="32" t="s">
        <v>248</v>
      </c>
      <c r="G370" s="32" t="s">
        <v>249</v>
      </c>
      <c r="H370" s="32" t="s">
        <v>97</v>
      </c>
      <c r="I370" s="31" t="s">
        <v>57</v>
      </c>
      <c r="J370" s="32" t="s">
        <v>93</v>
      </c>
      <c r="K370" s="34">
        <v>3</v>
      </c>
      <c r="O370" s="32">
        <v>14.9</v>
      </c>
      <c r="P370" s="32">
        <v>6.6</v>
      </c>
      <c r="Q370" s="32" t="s">
        <v>94</v>
      </c>
      <c r="S370" s="32" t="s">
        <v>213</v>
      </c>
      <c r="T370" s="32" t="s">
        <v>156</v>
      </c>
      <c r="U370" s="32" t="s">
        <v>348</v>
      </c>
      <c r="V370" s="32">
        <v>300</v>
      </c>
      <c r="W370" s="32" t="s">
        <v>89</v>
      </c>
      <c r="X370" s="32" t="str">
        <f t="shared" ref="X370:X433" si="19">CONCATENATE(J370," ",I370," ",O370,"X",P370," ",Q370)</f>
        <v>Printed Header Card 14.9X6.6 CM</v>
      </c>
      <c r="Y370" s="33" t="s">
        <v>557</v>
      </c>
      <c r="Z370" s="32" t="str">
        <f t="shared" si="17"/>
        <v>Header Card 14.9x6.6 CM Die Cutting  300 Art card</v>
      </c>
      <c r="AA370" s="32" t="str">
        <f t="shared" si="18"/>
        <v>Printed  Inlay Card 17X17 CM</v>
      </c>
      <c r="AB370" s="32" t="s">
        <v>1036</v>
      </c>
    </row>
    <row r="371" spans="2:28" x14ac:dyDescent="0.25">
      <c r="B371" s="31" t="s">
        <v>6</v>
      </c>
      <c r="D371" s="32">
        <v>2003</v>
      </c>
      <c r="E371" s="31" t="s">
        <v>6</v>
      </c>
      <c r="F371" s="32" t="s">
        <v>248</v>
      </c>
      <c r="G371" s="32" t="s">
        <v>249</v>
      </c>
      <c r="H371" s="32" t="s">
        <v>97</v>
      </c>
      <c r="I371" s="31" t="s">
        <v>57</v>
      </c>
      <c r="J371" s="32" t="s">
        <v>93</v>
      </c>
      <c r="K371" s="34">
        <v>5</v>
      </c>
      <c r="O371" s="32">
        <v>18</v>
      </c>
      <c r="P371" s="32">
        <v>15</v>
      </c>
      <c r="Q371" s="32" t="s">
        <v>94</v>
      </c>
      <c r="T371" s="32" t="s">
        <v>156</v>
      </c>
      <c r="U371" s="32" t="s">
        <v>344</v>
      </c>
      <c r="V371" s="32">
        <v>270</v>
      </c>
      <c r="W371" s="32" t="s">
        <v>89</v>
      </c>
      <c r="X371" s="32" t="str">
        <f t="shared" si="19"/>
        <v>Printed Header Card 18X15 CM</v>
      </c>
      <c r="Y371" s="33" t="s">
        <v>558</v>
      </c>
      <c r="Z371" s="32" t="str">
        <f t="shared" si="17"/>
        <v>Header Card 18x15 CM Die Cutting  270 Kraft Liner</v>
      </c>
      <c r="AA371" s="32" t="str">
        <f t="shared" si="18"/>
        <v>Printed  Inlay Card 20X20 CM</v>
      </c>
      <c r="AB371" s="32" t="s">
        <v>1037</v>
      </c>
    </row>
    <row r="372" spans="2:28" x14ac:dyDescent="0.25">
      <c r="B372" s="31" t="s">
        <v>6</v>
      </c>
      <c r="D372" s="32">
        <v>2003</v>
      </c>
      <c r="E372" s="31" t="s">
        <v>6</v>
      </c>
      <c r="F372" s="32" t="s">
        <v>248</v>
      </c>
      <c r="G372" s="32" t="s">
        <v>249</v>
      </c>
      <c r="H372" s="32" t="s">
        <v>97</v>
      </c>
      <c r="I372" s="31" t="s">
        <v>57</v>
      </c>
      <c r="J372" s="32" t="s">
        <v>93</v>
      </c>
      <c r="K372" s="34">
        <v>1</v>
      </c>
      <c r="O372" s="32">
        <v>24</v>
      </c>
      <c r="P372" s="32">
        <v>7</v>
      </c>
      <c r="Q372" s="32" t="s">
        <v>94</v>
      </c>
      <c r="T372" s="32" t="s">
        <v>156</v>
      </c>
      <c r="U372" s="32" t="s">
        <v>348</v>
      </c>
      <c r="V372" s="32">
        <v>300</v>
      </c>
      <c r="W372" s="32" t="s">
        <v>89</v>
      </c>
      <c r="X372" s="32" t="str">
        <f t="shared" si="19"/>
        <v>Printed Header Card 24X7 CM</v>
      </c>
      <c r="Y372" s="33" t="s">
        <v>559</v>
      </c>
      <c r="Z372" s="32" t="str">
        <f t="shared" si="17"/>
        <v>Header Card 24x7 CM Die Cutting  300 Art card</v>
      </c>
      <c r="AA372" s="32" t="str">
        <f t="shared" si="18"/>
        <v>Printed  Booklet  42.5X29.7 CM</v>
      </c>
      <c r="AB372" s="32" t="s">
        <v>1038</v>
      </c>
    </row>
    <row r="373" spans="2:28" x14ac:dyDescent="0.25">
      <c r="B373" s="31" t="s">
        <v>6</v>
      </c>
      <c r="D373" s="32">
        <v>2003</v>
      </c>
      <c r="E373" s="31" t="s">
        <v>6</v>
      </c>
      <c r="F373" s="32" t="s">
        <v>248</v>
      </c>
      <c r="G373" s="32" t="s">
        <v>249</v>
      </c>
      <c r="H373" s="32" t="s">
        <v>97</v>
      </c>
      <c r="I373" s="31" t="s">
        <v>57</v>
      </c>
      <c r="J373" s="32" t="s">
        <v>93</v>
      </c>
      <c r="K373" s="34">
        <v>2</v>
      </c>
      <c r="O373" s="32">
        <v>8</v>
      </c>
      <c r="P373" s="32">
        <v>8</v>
      </c>
      <c r="Q373" s="32" t="s">
        <v>94</v>
      </c>
      <c r="T373" s="32" t="s">
        <v>156</v>
      </c>
      <c r="U373" s="32" t="s">
        <v>344</v>
      </c>
      <c r="V373" s="32">
        <v>300</v>
      </c>
      <c r="W373" s="32" t="s">
        <v>89</v>
      </c>
      <c r="X373" s="32" t="str">
        <f t="shared" si="19"/>
        <v>Printed Header Card 8X8 CM</v>
      </c>
      <c r="Y373" s="31" t="s">
        <v>560</v>
      </c>
      <c r="Z373" s="32" t="str">
        <f t="shared" si="17"/>
        <v>Header Card 8x8 CM Die Cutting  300 Kraft Liner</v>
      </c>
      <c r="AA373" s="32" t="str">
        <f t="shared" si="18"/>
        <v>Printed  Paper Tag 8X4 CM</v>
      </c>
      <c r="AB373" s="32" t="s">
        <v>1039</v>
      </c>
    </row>
    <row r="374" spans="2:28" x14ac:dyDescent="0.25">
      <c r="B374" s="31" t="s">
        <v>6</v>
      </c>
      <c r="D374" s="32">
        <v>2003</v>
      </c>
      <c r="E374" s="31" t="s">
        <v>6</v>
      </c>
      <c r="F374" s="32" t="s">
        <v>248</v>
      </c>
      <c r="G374" s="32" t="s">
        <v>249</v>
      </c>
      <c r="H374" s="32" t="s">
        <v>97</v>
      </c>
      <c r="I374" s="31" t="s">
        <v>659</v>
      </c>
      <c r="J374" s="32" t="s">
        <v>93</v>
      </c>
      <c r="K374" s="34">
        <v>1</v>
      </c>
      <c r="O374" s="32">
        <v>29.7</v>
      </c>
      <c r="P374" s="32">
        <v>21</v>
      </c>
      <c r="Q374" s="32" t="s">
        <v>94</v>
      </c>
      <c r="T374" s="32" t="s">
        <v>119</v>
      </c>
      <c r="U374" s="32" t="s">
        <v>148</v>
      </c>
      <c r="V374" s="32">
        <v>80</v>
      </c>
      <c r="W374" s="32" t="s">
        <v>89</v>
      </c>
      <c r="X374" s="32" t="str">
        <f t="shared" si="19"/>
        <v>Printed Adhesive Paper A4 29.7X21 CM</v>
      </c>
      <c r="Y374" s="31" t="s">
        <v>561</v>
      </c>
      <c r="Z374" s="32" t="str">
        <f t="shared" si="17"/>
        <v>Adhesive Paper A4 29.7x21 CM Pollar Cutting 80 Offset Sticker</v>
      </c>
      <c r="AA374" s="32" t="str">
        <f t="shared" si="18"/>
        <v>Printed  Inlay Card 14X10.8 CM</v>
      </c>
      <c r="AB374" s="32" t="s">
        <v>1040</v>
      </c>
    </row>
    <row r="375" spans="2:28" x14ac:dyDescent="0.25">
      <c r="B375" s="31" t="s">
        <v>6</v>
      </c>
      <c r="D375" s="32">
        <v>2003</v>
      </c>
      <c r="E375" s="31" t="s">
        <v>6</v>
      </c>
      <c r="F375" s="32" t="s">
        <v>248</v>
      </c>
      <c r="G375" s="32" t="s">
        <v>249</v>
      </c>
      <c r="H375" s="32" t="s">
        <v>97</v>
      </c>
      <c r="I375" s="31" t="s">
        <v>51</v>
      </c>
      <c r="J375" s="32" t="s">
        <v>93</v>
      </c>
      <c r="K375" s="34">
        <v>2</v>
      </c>
      <c r="O375" s="32">
        <v>29.7</v>
      </c>
      <c r="P375" s="32">
        <v>21</v>
      </c>
      <c r="Q375" s="32" t="s">
        <v>94</v>
      </c>
      <c r="T375" s="32" t="s">
        <v>119</v>
      </c>
      <c r="U375" s="32" t="s">
        <v>148</v>
      </c>
      <c r="V375" s="32">
        <v>80</v>
      </c>
      <c r="W375" s="32" t="s">
        <v>89</v>
      </c>
      <c r="X375" s="32" t="str">
        <f t="shared" si="19"/>
        <v>Printed Bale Paper 29.7X21 CM</v>
      </c>
      <c r="Y375" s="33" t="s">
        <v>562</v>
      </c>
      <c r="Z375" s="32" t="str">
        <f t="shared" si="17"/>
        <v>Bale Paper 29.7x21 CM Pollar Cutting 80 Offset Sticker</v>
      </c>
      <c r="AA375" s="32" t="str">
        <f t="shared" si="18"/>
        <v>Printed  Bale Paper 97.7X21 CM</v>
      </c>
      <c r="AB375" s="32" t="s">
        <v>1041</v>
      </c>
    </row>
    <row r="376" spans="2:28" x14ac:dyDescent="0.25">
      <c r="B376" s="31" t="s">
        <v>6</v>
      </c>
      <c r="D376" s="32">
        <v>2003</v>
      </c>
      <c r="E376" s="31" t="s">
        <v>6</v>
      </c>
      <c r="F376" s="32" t="s">
        <v>248</v>
      </c>
      <c r="G376" s="32" t="s">
        <v>249</v>
      </c>
      <c r="H376" s="32" t="s">
        <v>97</v>
      </c>
      <c r="I376" s="31" t="s">
        <v>661</v>
      </c>
      <c r="J376" s="32" t="s">
        <v>93</v>
      </c>
      <c r="K376" s="34">
        <v>1</v>
      </c>
      <c r="O376" s="32">
        <v>17</v>
      </c>
      <c r="P376" s="32">
        <v>13</v>
      </c>
      <c r="Q376" s="32" t="s">
        <v>94</v>
      </c>
      <c r="T376" s="32" t="s">
        <v>119</v>
      </c>
      <c r="U376" s="32" t="s">
        <v>667</v>
      </c>
      <c r="V376" s="32">
        <v>80</v>
      </c>
      <c r="W376" s="32" t="s">
        <v>89</v>
      </c>
      <c r="X376" s="32" t="str">
        <f t="shared" si="19"/>
        <v>Printed Skin Paper 17X13 CM</v>
      </c>
      <c r="Y376" s="33" t="s">
        <v>563</v>
      </c>
      <c r="Z376" s="32" t="str">
        <f t="shared" si="17"/>
        <v>Skin Paper 17x13 CM Pollar Cutting 80 Transparent sticker</v>
      </c>
      <c r="AA376" s="32" t="str">
        <f t="shared" si="18"/>
        <v>Printed  Carton Info Page 9.5X4 CM</v>
      </c>
      <c r="AB376" s="32" t="s">
        <v>1042</v>
      </c>
    </row>
    <row r="377" spans="2:28" x14ac:dyDescent="0.25">
      <c r="B377" s="31" t="s">
        <v>6</v>
      </c>
      <c r="D377" s="32">
        <v>2003</v>
      </c>
      <c r="E377" s="31" t="s">
        <v>6</v>
      </c>
      <c r="F377" s="32" t="s">
        <v>248</v>
      </c>
      <c r="G377" s="32" t="s">
        <v>249</v>
      </c>
      <c r="H377" s="32" t="s">
        <v>97</v>
      </c>
      <c r="I377" s="31" t="s">
        <v>54</v>
      </c>
      <c r="J377" s="32" t="s">
        <v>93</v>
      </c>
      <c r="K377" s="34">
        <v>5</v>
      </c>
      <c r="O377" s="32">
        <v>13</v>
      </c>
      <c r="P377" s="32">
        <v>13</v>
      </c>
      <c r="Q377" s="32" t="s">
        <v>94</v>
      </c>
      <c r="R377" s="32" t="s">
        <v>213</v>
      </c>
      <c r="T377" s="32" t="s">
        <v>119</v>
      </c>
      <c r="U377" s="32" t="s">
        <v>348</v>
      </c>
      <c r="V377" s="32">
        <v>300</v>
      </c>
      <c r="W377" s="32" t="s">
        <v>89</v>
      </c>
      <c r="X377" s="32" t="str">
        <f t="shared" si="19"/>
        <v>Printed Inlay Card 13X13 CM</v>
      </c>
      <c r="Y377" s="33" t="s">
        <v>564</v>
      </c>
      <c r="Z377" s="32" t="str">
        <f t="shared" si="17"/>
        <v>Inlay Card 13x13 CM Pollar Cutting 300 Art card</v>
      </c>
      <c r="AA377" s="32" t="str">
        <f t="shared" si="18"/>
        <v xml:space="preserve"> Glossy Adhesive Paper A4 29.7X21 CM</v>
      </c>
      <c r="AB377" s="32" t="s">
        <v>687</v>
      </c>
    </row>
    <row r="378" spans="2:28" x14ac:dyDescent="0.25">
      <c r="B378" s="31" t="s">
        <v>6</v>
      </c>
      <c r="D378" s="32">
        <v>2003</v>
      </c>
      <c r="E378" s="31" t="s">
        <v>6</v>
      </c>
      <c r="F378" s="32" t="s">
        <v>248</v>
      </c>
      <c r="G378" s="32" t="s">
        <v>249</v>
      </c>
      <c r="H378" s="32" t="s">
        <v>97</v>
      </c>
      <c r="I378" s="31" t="s">
        <v>54</v>
      </c>
      <c r="J378" s="32" t="s">
        <v>93</v>
      </c>
      <c r="K378" s="34">
        <v>5</v>
      </c>
      <c r="O378" s="32">
        <v>17</v>
      </c>
      <c r="P378" s="32">
        <v>17</v>
      </c>
      <c r="Q378" s="32" t="s">
        <v>94</v>
      </c>
      <c r="R378" s="32" t="s">
        <v>213</v>
      </c>
      <c r="T378" s="32" t="s">
        <v>119</v>
      </c>
      <c r="U378" s="32" t="s">
        <v>348</v>
      </c>
      <c r="V378" s="32">
        <v>300</v>
      </c>
      <c r="W378" s="32" t="s">
        <v>89</v>
      </c>
      <c r="X378" s="32" t="str">
        <f t="shared" si="19"/>
        <v>Printed Inlay Card 17X17 CM</v>
      </c>
      <c r="Y378" s="33" t="s">
        <v>565</v>
      </c>
      <c r="Z378" s="32" t="str">
        <f t="shared" si="17"/>
        <v>Inlay Card 17x17 CM Pollar Cutting 300 Art card</v>
      </c>
      <c r="AA378" s="32" t="str">
        <f t="shared" si="18"/>
        <v>Printed Glossy Sticker 9.5X2.75 CM</v>
      </c>
      <c r="AB378" s="32" t="s">
        <v>688</v>
      </c>
    </row>
    <row r="379" spans="2:28" x14ac:dyDescent="0.25">
      <c r="B379" s="31" t="s">
        <v>6</v>
      </c>
      <c r="D379" s="32">
        <v>2003</v>
      </c>
      <c r="E379" s="31" t="s">
        <v>6</v>
      </c>
      <c r="F379" s="32" t="s">
        <v>248</v>
      </c>
      <c r="G379" s="32" t="s">
        <v>249</v>
      </c>
      <c r="H379" s="32" t="s">
        <v>97</v>
      </c>
      <c r="I379" s="31" t="s">
        <v>54</v>
      </c>
      <c r="J379" s="32" t="s">
        <v>93</v>
      </c>
      <c r="K379" s="34">
        <v>3</v>
      </c>
      <c r="O379" s="32">
        <v>20</v>
      </c>
      <c r="P379" s="32">
        <v>20</v>
      </c>
      <c r="Q379" s="32" t="s">
        <v>94</v>
      </c>
      <c r="R379" s="32" t="s">
        <v>213</v>
      </c>
      <c r="T379" s="32" t="s">
        <v>119</v>
      </c>
      <c r="U379" s="32" t="s">
        <v>348</v>
      </c>
      <c r="V379" s="32">
        <v>300</v>
      </c>
      <c r="W379" s="32" t="s">
        <v>89</v>
      </c>
      <c r="X379" s="32" t="str">
        <f t="shared" si="19"/>
        <v>Printed Inlay Card 20X20 CM</v>
      </c>
      <c r="Y379" s="33" t="s">
        <v>566</v>
      </c>
      <c r="Z379" s="32" t="str">
        <f t="shared" si="17"/>
        <v>Inlay Card 20x20 CM Pollar Cutting 300 Art card</v>
      </c>
      <c r="AA379" s="32" t="str">
        <f t="shared" si="18"/>
        <v>Printed Glossy Carton Sticker 6X5 CM</v>
      </c>
      <c r="AB379" s="32" t="s">
        <v>689</v>
      </c>
    </row>
    <row r="380" spans="2:28" x14ac:dyDescent="0.25">
      <c r="B380" s="31" t="s">
        <v>6</v>
      </c>
      <c r="D380" s="32">
        <v>2003</v>
      </c>
      <c r="E380" s="31" t="s">
        <v>6</v>
      </c>
      <c r="F380" s="32" t="s">
        <v>248</v>
      </c>
      <c r="G380" s="32" t="s">
        <v>249</v>
      </c>
      <c r="H380" s="32" t="s">
        <v>97</v>
      </c>
      <c r="I380" s="31" t="s">
        <v>322</v>
      </c>
      <c r="J380" s="32" t="s">
        <v>93</v>
      </c>
      <c r="K380" s="34">
        <v>1</v>
      </c>
      <c r="O380" s="32">
        <v>42.5</v>
      </c>
      <c r="P380" s="32">
        <v>29.7</v>
      </c>
      <c r="Q380" s="32" t="s">
        <v>94</v>
      </c>
      <c r="S380" s="32" t="s">
        <v>213</v>
      </c>
      <c r="T380" s="32" t="s">
        <v>119</v>
      </c>
      <c r="U380" s="32" t="s">
        <v>185</v>
      </c>
      <c r="V380" s="32">
        <v>80</v>
      </c>
      <c r="W380" s="32" t="s">
        <v>89</v>
      </c>
      <c r="X380" s="32" t="str">
        <f t="shared" si="19"/>
        <v>Printed Booklet  42.5X29.7 CM</v>
      </c>
      <c r="Y380" s="33" t="s">
        <v>567</v>
      </c>
      <c r="Z380" s="32" t="str">
        <f t="shared" si="17"/>
        <v>Booklet  42.5x29.7 CM Pollar Cutting 80 Offset Paper</v>
      </c>
      <c r="AA380" s="32" t="str">
        <f t="shared" si="18"/>
        <v>Printed  Barcode Sticker  9.5X7.4 Inch</v>
      </c>
      <c r="AB380" s="32" t="s">
        <v>1043</v>
      </c>
    </row>
    <row r="381" spans="2:28" x14ac:dyDescent="0.25">
      <c r="B381" s="31" t="s">
        <v>6</v>
      </c>
      <c r="D381" s="32">
        <v>2003</v>
      </c>
      <c r="E381" s="31" t="s">
        <v>6</v>
      </c>
      <c r="F381" s="32" t="s">
        <v>248</v>
      </c>
      <c r="G381" s="32" t="s">
        <v>249</v>
      </c>
      <c r="H381" s="32" t="s">
        <v>97</v>
      </c>
      <c r="I381" s="31" t="s">
        <v>655</v>
      </c>
      <c r="J381" s="32" t="s">
        <v>93</v>
      </c>
      <c r="K381" s="34">
        <v>3</v>
      </c>
      <c r="O381" s="32">
        <v>8</v>
      </c>
      <c r="P381" s="32">
        <v>4</v>
      </c>
      <c r="Q381" s="32" t="s">
        <v>94</v>
      </c>
      <c r="S381" s="32" t="s">
        <v>213</v>
      </c>
      <c r="T381" s="32" t="s">
        <v>156</v>
      </c>
      <c r="U381" s="32" t="s">
        <v>348</v>
      </c>
      <c r="V381" s="32">
        <v>300</v>
      </c>
      <c r="W381" s="32" t="s">
        <v>89</v>
      </c>
      <c r="X381" s="32" t="str">
        <f t="shared" si="19"/>
        <v>Printed Paper Tag 8X4 CM</v>
      </c>
      <c r="Y381" s="40" t="s">
        <v>568</v>
      </c>
      <c r="Z381" s="32" t="str">
        <f t="shared" si="17"/>
        <v>Paper Tag 8x4 CM Die Cutting  300 Art card</v>
      </c>
      <c r="AA381" s="32" t="str">
        <f t="shared" si="18"/>
        <v>Printed  Carton Sticker  15X12 CM</v>
      </c>
      <c r="AB381" s="32" t="s">
        <v>1044</v>
      </c>
    </row>
    <row r="382" spans="2:28" x14ac:dyDescent="0.25">
      <c r="B382" s="31" t="s">
        <v>6</v>
      </c>
      <c r="D382" s="32">
        <v>2003</v>
      </c>
      <c r="E382" s="31" t="s">
        <v>6</v>
      </c>
      <c r="F382" s="32" t="s">
        <v>248</v>
      </c>
      <c r="G382" s="32" t="s">
        <v>249</v>
      </c>
      <c r="H382" s="32" t="s">
        <v>97</v>
      </c>
      <c r="I382" s="31" t="s">
        <v>54</v>
      </c>
      <c r="J382" s="32" t="s">
        <v>93</v>
      </c>
      <c r="K382" s="34">
        <v>2</v>
      </c>
      <c r="O382" s="32">
        <v>14</v>
      </c>
      <c r="P382" s="32">
        <v>10.8</v>
      </c>
      <c r="Q382" s="32" t="s">
        <v>94</v>
      </c>
      <c r="S382" s="32" t="s">
        <v>213</v>
      </c>
      <c r="T382" s="32" t="s">
        <v>119</v>
      </c>
      <c r="U382" s="32" t="s">
        <v>348</v>
      </c>
      <c r="V382" s="32">
        <v>300</v>
      </c>
      <c r="W382" s="32" t="s">
        <v>89</v>
      </c>
      <c r="X382" s="32" t="str">
        <f t="shared" si="19"/>
        <v>Printed Inlay Card 14X10.8 CM</v>
      </c>
      <c r="Y382" s="33" t="s">
        <v>569</v>
      </c>
      <c r="Z382" s="32" t="str">
        <f t="shared" si="17"/>
        <v>Inlay Card 14x10.8 CM Pollar Cutting 300 Art card</v>
      </c>
      <c r="AA382" s="32" t="str">
        <f t="shared" si="18"/>
        <v>Printed  Poly Sticker 4.5X4 CM</v>
      </c>
      <c r="AB382" s="32" t="s">
        <v>1045</v>
      </c>
    </row>
    <row r="383" spans="2:28" x14ac:dyDescent="0.25">
      <c r="B383" s="31" t="s">
        <v>6</v>
      </c>
      <c r="D383" s="32">
        <v>2003</v>
      </c>
      <c r="E383" s="31" t="s">
        <v>6</v>
      </c>
      <c r="F383" s="32" t="s">
        <v>248</v>
      </c>
      <c r="G383" s="32" t="s">
        <v>249</v>
      </c>
      <c r="H383" s="32" t="s">
        <v>97</v>
      </c>
      <c r="I383" s="31" t="s">
        <v>51</v>
      </c>
      <c r="J383" s="32" t="s">
        <v>93</v>
      </c>
      <c r="K383" s="34">
        <v>2</v>
      </c>
      <c r="O383" s="32">
        <v>97.7</v>
      </c>
      <c r="P383" s="32">
        <v>21</v>
      </c>
      <c r="Q383" s="32" t="s">
        <v>94</v>
      </c>
      <c r="S383" s="32" t="s">
        <v>213</v>
      </c>
      <c r="T383" s="32" t="s">
        <v>119</v>
      </c>
      <c r="U383" s="32" t="s">
        <v>185</v>
      </c>
      <c r="V383" s="32">
        <v>80</v>
      </c>
      <c r="W383" s="32" t="s">
        <v>89</v>
      </c>
      <c r="X383" s="32" t="str">
        <f t="shared" si="19"/>
        <v>Printed Bale Paper 97.7X21 CM</v>
      </c>
      <c r="Y383" s="33" t="s">
        <v>570</v>
      </c>
      <c r="Z383" s="32" t="str">
        <f t="shared" si="17"/>
        <v>Bale Paper 97.7x21 CM Pollar Cutting 80 Offset Paper</v>
      </c>
      <c r="AA383" s="32" t="str">
        <f t="shared" si="18"/>
        <v>Printed  Sticker 15X10.5 CM</v>
      </c>
      <c r="AB383" s="32" t="s">
        <v>1046</v>
      </c>
    </row>
    <row r="384" spans="2:28" x14ac:dyDescent="0.25">
      <c r="B384" s="31" t="s">
        <v>6</v>
      </c>
      <c r="D384" s="32">
        <v>2003</v>
      </c>
      <c r="E384" s="31" t="s">
        <v>6</v>
      </c>
      <c r="F384" s="32" t="s">
        <v>248</v>
      </c>
      <c r="G384" s="32" t="s">
        <v>249</v>
      </c>
      <c r="H384" s="32" t="s">
        <v>97</v>
      </c>
      <c r="I384" s="31" t="s">
        <v>652</v>
      </c>
      <c r="J384" s="32" t="s">
        <v>93</v>
      </c>
      <c r="K384" s="34">
        <v>1</v>
      </c>
      <c r="O384" s="32">
        <v>9.5</v>
      </c>
      <c r="P384" s="32">
        <v>4</v>
      </c>
      <c r="Q384" s="32" t="s">
        <v>94</v>
      </c>
      <c r="T384" s="32" t="s">
        <v>156</v>
      </c>
      <c r="U384" s="32" t="s">
        <v>128</v>
      </c>
      <c r="V384" s="32">
        <v>80</v>
      </c>
      <c r="W384" s="32" t="s">
        <v>89</v>
      </c>
      <c r="X384" s="32" t="str">
        <f t="shared" si="19"/>
        <v>Printed Carton Info Page 9.5X4 CM</v>
      </c>
      <c r="Y384" s="33" t="s">
        <v>305</v>
      </c>
      <c r="Z384" s="32" t="str">
        <f t="shared" si="17"/>
        <v>Carton Info Page 9.5x4 CM Die Cutting  80 Glossy Sticker</v>
      </c>
      <c r="AA384" s="32" t="str">
        <f t="shared" si="18"/>
        <v>Printed  Carton Sticker  8X5 CM</v>
      </c>
      <c r="AB384" s="32" t="s">
        <v>1047</v>
      </c>
    </row>
    <row r="385" spans="2:28" x14ac:dyDescent="0.25">
      <c r="B385" s="31" t="s">
        <v>6</v>
      </c>
      <c r="D385" s="32">
        <v>2003</v>
      </c>
      <c r="E385" s="31" t="s">
        <v>6</v>
      </c>
      <c r="F385" s="32" t="s">
        <v>248</v>
      </c>
      <c r="G385" s="32" t="s">
        <v>249</v>
      </c>
      <c r="H385" s="32" t="s">
        <v>97</v>
      </c>
      <c r="I385" s="31" t="s">
        <v>659</v>
      </c>
      <c r="K385" s="32"/>
      <c r="O385" s="32">
        <v>29.7</v>
      </c>
      <c r="P385" s="32">
        <v>21</v>
      </c>
      <c r="Q385" s="32" t="s">
        <v>94</v>
      </c>
      <c r="T385" s="32" t="s">
        <v>119</v>
      </c>
      <c r="U385" s="32" t="s">
        <v>128</v>
      </c>
      <c r="V385" s="32">
        <v>80</v>
      </c>
      <c r="W385" s="32" t="s">
        <v>89</v>
      </c>
      <c r="X385" s="32" t="str">
        <f t="shared" si="19"/>
        <v xml:space="preserve"> Adhesive Paper A4 29.7X21 CM</v>
      </c>
      <c r="Y385" s="33" t="s">
        <v>571</v>
      </c>
      <c r="Z385" s="32" t="str">
        <f t="shared" si="17"/>
        <v>Adhesive Paper A4 29.7x21 CM Pollar Cutting 80 Glossy Sticker</v>
      </c>
      <c r="AA385" s="32" t="str">
        <f t="shared" si="18"/>
        <v>Non Printed  Adhesive Paper A4 11.7X8.3 Inch</v>
      </c>
      <c r="AB385" s="32" t="s">
        <v>724</v>
      </c>
    </row>
    <row r="386" spans="2:28" x14ac:dyDescent="0.25">
      <c r="B386" s="31" t="s">
        <v>6</v>
      </c>
      <c r="D386" s="32">
        <v>2003</v>
      </c>
      <c r="E386" s="31" t="s">
        <v>6</v>
      </c>
      <c r="F386" s="32" t="s">
        <v>248</v>
      </c>
      <c r="G386" s="32" t="s">
        <v>249</v>
      </c>
      <c r="H386" s="32" t="s">
        <v>97</v>
      </c>
      <c r="I386" s="31" t="s">
        <v>102</v>
      </c>
      <c r="J386" s="32" t="s">
        <v>93</v>
      </c>
      <c r="K386" s="34">
        <v>1</v>
      </c>
      <c r="O386" s="32">
        <v>9.5</v>
      </c>
      <c r="P386" s="32">
        <v>2.75</v>
      </c>
      <c r="Q386" s="32" t="s">
        <v>94</v>
      </c>
      <c r="T386" s="32" t="s">
        <v>119</v>
      </c>
      <c r="U386" s="32" t="s">
        <v>148</v>
      </c>
      <c r="V386" s="32">
        <v>80</v>
      </c>
      <c r="W386" s="32" t="s">
        <v>89</v>
      </c>
      <c r="X386" s="32" t="str">
        <f t="shared" si="19"/>
        <v>Printed Sticker 9.5X2.75 CM</v>
      </c>
      <c r="Y386" s="31" t="s">
        <v>572</v>
      </c>
      <c r="Z386" s="32" t="str">
        <f t="shared" si="17"/>
        <v>Sticker 9.5x2.75 CM Pollar Cutting 80 Offset Sticker</v>
      </c>
      <c r="AA386" s="32" t="str">
        <f t="shared" si="18"/>
        <v>Printed  Poly Sticker 5.2X2.5 CM</v>
      </c>
      <c r="AB386" s="32" t="s">
        <v>1048</v>
      </c>
    </row>
    <row r="387" spans="2:28" ht="13" x14ac:dyDescent="0.3">
      <c r="B387" s="31" t="s">
        <v>6</v>
      </c>
      <c r="D387" s="32">
        <v>2003</v>
      </c>
      <c r="E387" s="31" t="s">
        <v>6</v>
      </c>
      <c r="F387" s="32" t="s">
        <v>248</v>
      </c>
      <c r="G387" s="32" t="s">
        <v>249</v>
      </c>
      <c r="H387" s="32" t="s">
        <v>97</v>
      </c>
      <c r="I387" s="31" t="s">
        <v>34</v>
      </c>
      <c r="J387" s="32" t="s">
        <v>93</v>
      </c>
      <c r="K387" s="34">
        <v>1</v>
      </c>
      <c r="O387" s="32">
        <v>6</v>
      </c>
      <c r="P387" s="32">
        <v>5</v>
      </c>
      <c r="Q387" s="32" t="s">
        <v>94</v>
      </c>
      <c r="T387" s="32" t="s">
        <v>119</v>
      </c>
      <c r="U387" s="32" t="s">
        <v>128</v>
      </c>
      <c r="V387" s="32">
        <v>80</v>
      </c>
      <c r="W387" s="32" t="s">
        <v>89</v>
      </c>
      <c r="X387" s="32" t="str">
        <f t="shared" si="19"/>
        <v>Printed Carton Sticker 6X5 CM</v>
      </c>
      <c r="Y387" s="43" t="s">
        <v>573</v>
      </c>
      <c r="Z387" s="32" t="str">
        <f t="shared" ref="Z387:Z450" si="20">CONCATENATE(I387," ",O387,"x",P387," ",Q387," ",T387," ",V387," ",U387)</f>
        <v>Carton Sticker 6x5 CM Pollar Cutting 80 Glossy Sticker</v>
      </c>
      <c r="AA387" s="32" t="str">
        <f t="shared" ref="AA387:AA450" si="21">CONCATENATE(J395," ",R387," ",I395," ",O395,"X",P395," ",Q395)</f>
        <v>Printed  Poly Sticker 5.6X3.65 CM</v>
      </c>
      <c r="AB387" s="32" t="s">
        <v>1049</v>
      </c>
    </row>
    <row r="388" spans="2:28" x14ac:dyDescent="0.25">
      <c r="B388" s="31" t="s">
        <v>6</v>
      </c>
      <c r="D388" s="32">
        <v>2003</v>
      </c>
      <c r="E388" s="31" t="s">
        <v>6</v>
      </c>
      <c r="F388" s="32" t="s">
        <v>248</v>
      </c>
      <c r="G388" s="32" t="s">
        <v>249</v>
      </c>
      <c r="H388" s="32" t="s">
        <v>97</v>
      </c>
      <c r="I388" s="31" t="s">
        <v>340</v>
      </c>
      <c r="J388" s="32" t="s">
        <v>93</v>
      </c>
      <c r="K388" s="34">
        <v>1</v>
      </c>
      <c r="O388" s="32">
        <v>9.5</v>
      </c>
      <c r="P388" s="32">
        <v>7.4</v>
      </c>
      <c r="Q388" s="32" t="s">
        <v>95</v>
      </c>
      <c r="T388" s="32" t="s">
        <v>119</v>
      </c>
      <c r="U388" s="32" t="s">
        <v>128</v>
      </c>
      <c r="V388" s="32">
        <v>80</v>
      </c>
      <c r="W388" s="32" t="s">
        <v>89</v>
      </c>
      <c r="X388" s="32" t="str">
        <f t="shared" si="19"/>
        <v>Printed Barcode Sticker  9.5X7.4 Inch</v>
      </c>
      <c r="Y388" s="31" t="s">
        <v>574</v>
      </c>
      <c r="Z388" s="32" t="str">
        <f t="shared" si="20"/>
        <v>Barcode Sticker  9.5x7.4 Inch Pollar Cutting 80 Glossy Sticker</v>
      </c>
      <c r="AA388" s="32" t="str">
        <f t="shared" si="21"/>
        <v>Printed  Carton Sticker  9.4X4 CM</v>
      </c>
      <c r="AB388" s="32" t="s">
        <v>1050</v>
      </c>
    </row>
    <row r="389" spans="2:28" x14ac:dyDescent="0.25">
      <c r="B389" s="31" t="s">
        <v>6</v>
      </c>
      <c r="D389" s="32">
        <v>2003</v>
      </c>
      <c r="E389" s="31" t="s">
        <v>6</v>
      </c>
      <c r="F389" s="32" t="s">
        <v>248</v>
      </c>
      <c r="G389" s="32" t="s">
        <v>249</v>
      </c>
      <c r="H389" s="32" t="s">
        <v>97</v>
      </c>
      <c r="I389" s="31" t="s">
        <v>137</v>
      </c>
      <c r="J389" s="32" t="s">
        <v>93</v>
      </c>
      <c r="K389" s="34">
        <v>1</v>
      </c>
      <c r="O389" s="32">
        <v>15</v>
      </c>
      <c r="P389" s="32">
        <v>12</v>
      </c>
      <c r="Q389" s="32" t="s">
        <v>94</v>
      </c>
      <c r="T389" s="32" t="s">
        <v>119</v>
      </c>
      <c r="U389" s="32" t="s">
        <v>128</v>
      </c>
      <c r="V389" s="32">
        <v>80</v>
      </c>
      <c r="W389" s="32" t="s">
        <v>89</v>
      </c>
      <c r="X389" s="32" t="str">
        <f t="shared" si="19"/>
        <v>Printed Carton Sticker  15X12 CM</v>
      </c>
      <c r="Y389" s="31" t="s">
        <v>575</v>
      </c>
      <c r="Z389" s="32" t="str">
        <f t="shared" si="20"/>
        <v>Carton Sticker  15x12 CM Pollar Cutting 80 Glossy Sticker</v>
      </c>
      <c r="AA389" s="32" t="str">
        <f t="shared" si="21"/>
        <v>Printed  Poly Sticker 8X3 CM</v>
      </c>
      <c r="AB389" s="32" t="s">
        <v>1051</v>
      </c>
    </row>
    <row r="390" spans="2:28" x14ac:dyDescent="0.25">
      <c r="B390" s="31" t="s">
        <v>6</v>
      </c>
      <c r="D390" s="32">
        <v>2003</v>
      </c>
      <c r="E390" s="31" t="s">
        <v>6</v>
      </c>
      <c r="F390" s="32" t="s">
        <v>248</v>
      </c>
      <c r="G390" s="32" t="s">
        <v>249</v>
      </c>
      <c r="H390" s="32" t="s">
        <v>97</v>
      </c>
      <c r="I390" s="31" t="s">
        <v>33</v>
      </c>
      <c r="J390" s="32" t="s">
        <v>93</v>
      </c>
      <c r="K390" s="34">
        <v>1</v>
      </c>
      <c r="O390" s="32">
        <v>4.5</v>
      </c>
      <c r="P390" s="32">
        <v>4</v>
      </c>
      <c r="Q390" s="32" t="s">
        <v>94</v>
      </c>
      <c r="T390" s="32" t="s">
        <v>119</v>
      </c>
      <c r="U390" s="32" t="s">
        <v>128</v>
      </c>
      <c r="V390" s="32">
        <v>80</v>
      </c>
      <c r="W390" s="32" t="s">
        <v>89</v>
      </c>
      <c r="X390" s="32" t="str">
        <f t="shared" si="19"/>
        <v>Printed Poly Sticker 4.5X4 CM</v>
      </c>
      <c r="Y390" s="31" t="s">
        <v>576</v>
      </c>
      <c r="Z390" s="32" t="str">
        <f t="shared" si="20"/>
        <v>Poly Sticker 4.5x4 CM Pollar Cutting 80 Glossy Sticker</v>
      </c>
      <c r="AA390" s="32" t="str">
        <f t="shared" si="21"/>
        <v>Printed  Carton Sticker 5.5X2.5 CM</v>
      </c>
      <c r="AB390" s="32" t="s">
        <v>1052</v>
      </c>
    </row>
    <row r="391" spans="2:28" x14ac:dyDescent="0.25">
      <c r="B391" s="31" t="s">
        <v>6</v>
      </c>
      <c r="D391" s="32">
        <v>2003</v>
      </c>
      <c r="E391" s="31" t="s">
        <v>6</v>
      </c>
      <c r="F391" s="32" t="s">
        <v>248</v>
      </c>
      <c r="G391" s="32" t="s">
        <v>249</v>
      </c>
      <c r="H391" s="32" t="s">
        <v>97</v>
      </c>
      <c r="I391" s="31" t="s">
        <v>102</v>
      </c>
      <c r="J391" s="32" t="s">
        <v>93</v>
      </c>
      <c r="K391" s="34">
        <v>1</v>
      </c>
      <c r="O391" s="32">
        <v>15</v>
      </c>
      <c r="P391" s="32">
        <v>10.5</v>
      </c>
      <c r="Q391" s="32" t="s">
        <v>94</v>
      </c>
      <c r="T391" s="32" t="s">
        <v>119</v>
      </c>
      <c r="U391" s="32" t="s">
        <v>128</v>
      </c>
      <c r="V391" s="32">
        <v>80</v>
      </c>
      <c r="W391" s="32" t="s">
        <v>89</v>
      </c>
      <c r="X391" s="32" t="str">
        <f t="shared" si="19"/>
        <v>Printed Sticker 15X10.5 CM</v>
      </c>
      <c r="Y391" s="31" t="s">
        <v>303</v>
      </c>
      <c r="Z391" s="32" t="str">
        <f t="shared" si="20"/>
        <v>Sticker 15x10.5 CM Pollar Cutting 80 Glossy Sticker</v>
      </c>
      <c r="AA391" s="32" t="str">
        <f t="shared" si="21"/>
        <v>Printed  Poly Sticker 5.5X3.5 CM</v>
      </c>
      <c r="AB391" s="32" t="s">
        <v>1053</v>
      </c>
    </row>
    <row r="392" spans="2:28" x14ac:dyDescent="0.25">
      <c r="B392" s="31" t="s">
        <v>6</v>
      </c>
      <c r="D392" s="32">
        <v>2003</v>
      </c>
      <c r="E392" s="31" t="s">
        <v>6</v>
      </c>
      <c r="F392" s="32" t="s">
        <v>248</v>
      </c>
      <c r="G392" s="32" t="s">
        <v>249</v>
      </c>
      <c r="H392" s="32" t="s">
        <v>97</v>
      </c>
      <c r="I392" s="31" t="s">
        <v>137</v>
      </c>
      <c r="J392" s="32" t="s">
        <v>93</v>
      </c>
      <c r="K392" s="34">
        <v>1</v>
      </c>
      <c r="O392" s="32">
        <v>8</v>
      </c>
      <c r="P392" s="32">
        <v>5</v>
      </c>
      <c r="Q392" s="32" t="s">
        <v>94</v>
      </c>
      <c r="T392" s="32" t="s">
        <v>119</v>
      </c>
      <c r="U392" s="32" t="s">
        <v>128</v>
      </c>
      <c r="V392" s="32">
        <v>80</v>
      </c>
      <c r="W392" s="32" t="s">
        <v>89</v>
      </c>
      <c r="X392" s="32" t="str">
        <f t="shared" si="19"/>
        <v>Printed Carton Sticker  8X5 CM</v>
      </c>
      <c r="Y392" s="31" t="s">
        <v>577</v>
      </c>
      <c r="Z392" s="32" t="str">
        <f t="shared" si="20"/>
        <v>Carton Sticker  8x5 CM Pollar Cutting 80 Glossy Sticker</v>
      </c>
      <c r="AA392" s="32" t="str">
        <f t="shared" si="21"/>
        <v>Printed  Box Sticker 10X7 CM</v>
      </c>
      <c r="AB392" s="32" t="s">
        <v>1054</v>
      </c>
    </row>
    <row r="393" spans="2:28" x14ac:dyDescent="0.25">
      <c r="B393" s="31" t="s">
        <v>6</v>
      </c>
      <c r="D393" s="32">
        <v>2003</v>
      </c>
      <c r="E393" s="31" t="s">
        <v>6</v>
      </c>
      <c r="F393" s="32" t="s">
        <v>248</v>
      </c>
      <c r="G393" s="32" t="s">
        <v>249</v>
      </c>
      <c r="H393" s="32" t="s">
        <v>97</v>
      </c>
      <c r="I393" s="31" t="s">
        <v>659</v>
      </c>
      <c r="J393" s="32" t="s">
        <v>238</v>
      </c>
      <c r="O393" s="34">
        <v>11.7</v>
      </c>
      <c r="P393" s="34">
        <v>8.3000000000000007</v>
      </c>
      <c r="Q393" s="32" t="s">
        <v>95</v>
      </c>
      <c r="T393" s="32" t="s">
        <v>119</v>
      </c>
      <c r="U393" s="32" t="s">
        <v>128</v>
      </c>
      <c r="V393" s="32">
        <v>80</v>
      </c>
      <c r="W393" s="32" t="s">
        <v>89</v>
      </c>
      <c r="X393" s="32" t="str">
        <f t="shared" si="19"/>
        <v>Non Printed Adhesive Paper A4 11.7X8.3 Inch</v>
      </c>
      <c r="Y393" s="31" t="s">
        <v>578</v>
      </c>
      <c r="Z393" s="32" t="str">
        <f t="shared" si="20"/>
        <v>Adhesive Paper A4 11.7x8.3 Inch Pollar Cutting 80 Glossy Sticker</v>
      </c>
      <c r="AA393" s="32" t="str">
        <f t="shared" si="21"/>
        <v>Printed  Sticker 3X3 Inch</v>
      </c>
      <c r="AB393" s="32" t="s">
        <v>1055</v>
      </c>
    </row>
    <row r="394" spans="2:28" x14ac:dyDescent="0.25">
      <c r="B394" s="31" t="s">
        <v>6</v>
      </c>
      <c r="D394" s="32">
        <v>2003</v>
      </c>
      <c r="E394" s="31" t="s">
        <v>6</v>
      </c>
      <c r="F394" s="32" t="s">
        <v>248</v>
      </c>
      <c r="G394" s="32" t="s">
        <v>249</v>
      </c>
      <c r="H394" s="32" t="s">
        <v>97</v>
      </c>
      <c r="I394" s="31" t="s">
        <v>33</v>
      </c>
      <c r="J394" s="32" t="s">
        <v>93</v>
      </c>
      <c r="K394" s="34">
        <v>1</v>
      </c>
      <c r="O394" s="32">
        <v>5.2</v>
      </c>
      <c r="P394" s="32">
        <v>2.5</v>
      </c>
      <c r="Q394" s="32" t="s">
        <v>94</v>
      </c>
      <c r="T394" s="32" t="s">
        <v>119</v>
      </c>
      <c r="U394" s="32" t="s">
        <v>128</v>
      </c>
      <c r="V394" s="32">
        <v>80</v>
      </c>
      <c r="W394" s="32" t="s">
        <v>89</v>
      </c>
      <c r="X394" s="32" t="str">
        <f t="shared" si="19"/>
        <v>Printed Poly Sticker 5.2X2.5 CM</v>
      </c>
      <c r="Y394" s="31" t="s">
        <v>579</v>
      </c>
      <c r="Z394" s="32" t="str">
        <f t="shared" si="20"/>
        <v>Poly Sticker 5.2x2.5 CM Pollar Cutting 80 Glossy Sticker</v>
      </c>
      <c r="AA394" s="32" t="str">
        <f t="shared" si="21"/>
        <v>Printed  Poly Sticker 6X4 CM</v>
      </c>
      <c r="AB394" s="32" t="s">
        <v>1056</v>
      </c>
    </row>
    <row r="395" spans="2:28" x14ac:dyDescent="0.25">
      <c r="B395" s="31" t="s">
        <v>6</v>
      </c>
      <c r="D395" s="32">
        <v>2003</v>
      </c>
      <c r="E395" s="31" t="s">
        <v>6</v>
      </c>
      <c r="F395" s="32" t="s">
        <v>248</v>
      </c>
      <c r="G395" s="32" t="s">
        <v>249</v>
      </c>
      <c r="H395" s="32" t="s">
        <v>97</v>
      </c>
      <c r="I395" s="31" t="s">
        <v>33</v>
      </c>
      <c r="J395" s="32" t="s">
        <v>93</v>
      </c>
      <c r="K395" s="34">
        <v>1</v>
      </c>
      <c r="O395" s="32">
        <v>5.6</v>
      </c>
      <c r="P395" s="32">
        <v>3.65</v>
      </c>
      <c r="Q395" s="32" t="s">
        <v>94</v>
      </c>
      <c r="T395" s="32" t="s">
        <v>119</v>
      </c>
      <c r="U395" s="32" t="s">
        <v>128</v>
      </c>
      <c r="V395" s="32">
        <v>80</v>
      </c>
      <c r="W395" s="32" t="s">
        <v>89</v>
      </c>
      <c r="X395" s="32" t="str">
        <f t="shared" si="19"/>
        <v>Printed Poly Sticker 5.6X3.65 CM</v>
      </c>
      <c r="Y395" s="31" t="s">
        <v>580</v>
      </c>
      <c r="Z395" s="32" t="str">
        <f t="shared" si="20"/>
        <v>Poly Sticker 5.6x3.65 CM Pollar Cutting 80 Glossy Sticker</v>
      </c>
      <c r="AA395" s="32" t="str">
        <f t="shared" si="21"/>
        <v>Printed  Hang Tag 5.7X3.2 CM</v>
      </c>
      <c r="AB395" s="32" t="s">
        <v>1057</v>
      </c>
    </row>
    <row r="396" spans="2:28" x14ac:dyDescent="0.25">
      <c r="B396" s="31" t="s">
        <v>6</v>
      </c>
      <c r="D396" s="32">
        <v>2003</v>
      </c>
      <c r="E396" s="31" t="s">
        <v>6</v>
      </c>
      <c r="F396" s="32" t="s">
        <v>248</v>
      </c>
      <c r="G396" s="32" t="s">
        <v>249</v>
      </c>
      <c r="H396" s="32" t="s">
        <v>97</v>
      </c>
      <c r="I396" s="31" t="s">
        <v>137</v>
      </c>
      <c r="J396" s="32" t="s">
        <v>93</v>
      </c>
      <c r="K396" s="34">
        <v>1</v>
      </c>
      <c r="O396" s="32">
        <v>9.4</v>
      </c>
      <c r="P396" s="32">
        <v>4</v>
      </c>
      <c r="Q396" s="32" t="s">
        <v>94</v>
      </c>
      <c r="T396" s="32" t="s">
        <v>156</v>
      </c>
      <c r="U396" s="32" t="s">
        <v>128</v>
      </c>
      <c r="V396" s="32">
        <v>80</v>
      </c>
      <c r="W396" s="32" t="s">
        <v>89</v>
      </c>
      <c r="X396" s="32" t="str">
        <f t="shared" si="19"/>
        <v>Printed Carton Sticker  9.4X4 CM</v>
      </c>
      <c r="Y396" s="31" t="s">
        <v>581</v>
      </c>
      <c r="Z396" s="32" t="str">
        <f t="shared" si="20"/>
        <v>Carton Sticker  9.4x4 CM Die Cutting  80 Glossy Sticker</v>
      </c>
      <c r="AA396" s="32" t="str">
        <f t="shared" si="21"/>
        <v>Printed  Poly Sticker 6.7X5.1 CM</v>
      </c>
      <c r="AB396" s="32" t="s">
        <v>1058</v>
      </c>
    </row>
    <row r="397" spans="2:28" x14ac:dyDescent="0.25">
      <c r="B397" s="31" t="s">
        <v>6</v>
      </c>
      <c r="D397" s="32">
        <v>2003</v>
      </c>
      <c r="E397" s="31" t="s">
        <v>6</v>
      </c>
      <c r="F397" s="32" t="s">
        <v>248</v>
      </c>
      <c r="G397" s="32" t="s">
        <v>249</v>
      </c>
      <c r="H397" s="32" t="s">
        <v>97</v>
      </c>
      <c r="I397" s="31" t="s">
        <v>33</v>
      </c>
      <c r="J397" s="32" t="s">
        <v>93</v>
      </c>
      <c r="K397" s="34">
        <v>1</v>
      </c>
      <c r="O397" s="32">
        <v>8</v>
      </c>
      <c r="P397" s="32">
        <v>3</v>
      </c>
      <c r="Q397" s="32" t="s">
        <v>94</v>
      </c>
      <c r="T397" s="32" t="s">
        <v>119</v>
      </c>
      <c r="U397" s="32" t="s">
        <v>128</v>
      </c>
      <c r="V397" s="32">
        <v>80</v>
      </c>
      <c r="W397" s="32" t="s">
        <v>89</v>
      </c>
      <c r="X397" s="32" t="str">
        <f t="shared" si="19"/>
        <v>Printed Poly Sticker 8X3 CM</v>
      </c>
      <c r="Y397" s="31" t="s">
        <v>582</v>
      </c>
      <c r="Z397" s="32" t="str">
        <f t="shared" si="20"/>
        <v>Poly Sticker 8x3 CM Pollar Cutting 80 Glossy Sticker</v>
      </c>
      <c r="AA397" s="32" t="str">
        <f t="shared" si="21"/>
        <v>Printed  Poly Sticker 5.7X3.5 CM</v>
      </c>
      <c r="AB397" s="32" t="s">
        <v>1059</v>
      </c>
    </row>
    <row r="398" spans="2:28" x14ac:dyDescent="0.25">
      <c r="B398" s="31" t="s">
        <v>6</v>
      </c>
      <c r="D398" s="32">
        <v>2003</v>
      </c>
      <c r="E398" s="31" t="s">
        <v>6</v>
      </c>
      <c r="F398" s="32" t="s">
        <v>248</v>
      </c>
      <c r="G398" s="32" t="s">
        <v>249</v>
      </c>
      <c r="H398" s="32" t="s">
        <v>97</v>
      </c>
      <c r="I398" s="31" t="s">
        <v>34</v>
      </c>
      <c r="J398" s="32" t="s">
        <v>93</v>
      </c>
      <c r="K398" s="34">
        <v>1</v>
      </c>
      <c r="O398" s="32">
        <v>5.5</v>
      </c>
      <c r="P398" s="32">
        <v>2.5</v>
      </c>
      <c r="Q398" s="32" t="s">
        <v>94</v>
      </c>
      <c r="T398" s="32" t="s">
        <v>156</v>
      </c>
      <c r="U398" s="32" t="s">
        <v>128</v>
      </c>
      <c r="V398" s="32">
        <v>80</v>
      </c>
      <c r="W398" s="32" t="s">
        <v>89</v>
      </c>
      <c r="X398" s="32" t="str">
        <f t="shared" si="19"/>
        <v>Printed Carton Sticker 5.5X2.5 CM</v>
      </c>
      <c r="Y398" s="31" t="s">
        <v>583</v>
      </c>
      <c r="Z398" s="32" t="str">
        <f t="shared" si="20"/>
        <v>Carton Sticker 5.5x2.5 CM Die Cutting  80 Glossy Sticker</v>
      </c>
      <c r="AA398" s="32" t="str">
        <f t="shared" si="21"/>
        <v>Printed  Carton Sticker  15X10 CM</v>
      </c>
      <c r="AB398" s="32" t="s">
        <v>1060</v>
      </c>
    </row>
    <row r="399" spans="2:28" x14ac:dyDescent="0.25">
      <c r="B399" s="31" t="s">
        <v>6</v>
      </c>
      <c r="D399" s="32">
        <v>2003</v>
      </c>
      <c r="E399" s="31" t="s">
        <v>6</v>
      </c>
      <c r="F399" s="32" t="s">
        <v>248</v>
      </c>
      <c r="G399" s="32" t="s">
        <v>249</v>
      </c>
      <c r="H399" s="32" t="s">
        <v>97</v>
      </c>
      <c r="I399" s="31" t="s">
        <v>33</v>
      </c>
      <c r="J399" s="32" t="s">
        <v>93</v>
      </c>
      <c r="K399" s="34">
        <v>1</v>
      </c>
      <c r="O399" s="32">
        <v>5.5</v>
      </c>
      <c r="P399" s="32">
        <v>3.5</v>
      </c>
      <c r="Q399" s="32" t="s">
        <v>94</v>
      </c>
      <c r="T399" s="32" t="s">
        <v>119</v>
      </c>
      <c r="U399" s="32" t="s">
        <v>128</v>
      </c>
      <c r="V399" s="32">
        <v>80</v>
      </c>
      <c r="W399" s="32" t="s">
        <v>89</v>
      </c>
      <c r="X399" s="32" t="str">
        <f t="shared" si="19"/>
        <v>Printed Poly Sticker 5.5X3.5 CM</v>
      </c>
      <c r="Y399" s="31" t="s">
        <v>584</v>
      </c>
      <c r="Z399" s="32" t="str">
        <f t="shared" si="20"/>
        <v>Poly Sticker 5.5x3.5 CM Pollar Cutting 80 Glossy Sticker</v>
      </c>
      <c r="AA399" s="32" t="str">
        <f t="shared" si="21"/>
        <v>Printed  Poly Sticker 5.5X5 CM</v>
      </c>
      <c r="AB399" s="32" t="s">
        <v>1061</v>
      </c>
    </row>
    <row r="400" spans="2:28" x14ac:dyDescent="0.25">
      <c r="B400" s="31" t="s">
        <v>6</v>
      </c>
      <c r="D400" s="32">
        <v>2003</v>
      </c>
      <c r="E400" s="31" t="s">
        <v>6</v>
      </c>
      <c r="F400" s="32" t="s">
        <v>248</v>
      </c>
      <c r="G400" s="32" t="s">
        <v>249</v>
      </c>
      <c r="H400" s="32" t="s">
        <v>97</v>
      </c>
      <c r="I400" s="31" t="s">
        <v>345</v>
      </c>
      <c r="J400" s="32" t="s">
        <v>93</v>
      </c>
      <c r="K400" s="34">
        <v>1</v>
      </c>
      <c r="O400" s="32">
        <v>10</v>
      </c>
      <c r="P400" s="32">
        <v>7</v>
      </c>
      <c r="Q400" s="32" t="s">
        <v>94</v>
      </c>
      <c r="T400" s="32" t="s">
        <v>119</v>
      </c>
      <c r="U400" s="32" t="s">
        <v>128</v>
      </c>
      <c r="V400" s="32">
        <v>80</v>
      </c>
      <c r="W400" s="32" t="s">
        <v>89</v>
      </c>
      <c r="X400" s="32" t="str">
        <f t="shared" si="19"/>
        <v>Printed Box Sticker 10X7 CM</v>
      </c>
      <c r="Y400" s="31" t="s">
        <v>585</v>
      </c>
      <c r="Z400" s="32" t="str">
        <f t="shared" si="20"/>
        <v>Box Sticker 10x7 CM Pollar Cutting 80 Glossy Sticker</v>
      </c>
      <c r="AA400" s="32" t="str">
        <f t="shared" si="21"/>
        <v>Printed  Carton Sticker  20X9 CM</v>
      </c>
      <c r="AB400" s="32" t="s">
        <v>1062</v>
      </c>
    </row>
    <row r="401" spans="2:28" x14ac:dyDescent="0.25">
      <c r="B401" s="31" t="s">
        <v>6</v>
      </c>
      <c r="D401" s="32">
        <v>2003</v>
      </c>
      <c r="E401" s="31" t="s">
        <v>6</v>
      </c>
      <c r="F401" s="32" t="s">
        <v>248</v>
      </c>
      <c r="G401" s="32" t="s">
        <v>249</v>
      </c>
      <c r="H401" s="32" t="s">
        <v>97</v>
      </c>
      <c r="I401" s="31" t="s">
        <v>102</v>
      </c>
      <c r="J401" s="32" t="s">
        <v>93</v>
      </c>
      <c r="K401" s="34">
        <v>2</v>
      </c>
      <c r="O401" s="32">
        <v>3</v>
      </c>
      <c r="P401" s="32">
        <v>3</v>
      </c>
      <c r="Q401" s="32" t="s">
        <v>95</v>
      </c>
      <c r="T401" s="32" t="s">
        <v>119</v>
      </c>
      <c r="U401" s="32" t="s">
        <v>128</v>
      </c>
      <c r="V401" s="32">
        <v>80</v>
      </c>
      <c r="W401" s="32" t="s">
        <v>89</v>
      </c>
      <c r="X401" s="32" t="str">
        <f t="shared" si="19"/>
        <v>Printed Sticker 3X3 Inch</v>
      </c>
      <c r="Y401" s="31" t="s">
        <v>586</v>
      </c>
      <c r="Z401" s="32" t="str">
        <f t="shared" si="20"/>
        <v>Sticker 3x3 Inch Pollar Cutting 80 Glossy Sticker</v>
      </c>
      <c r="AA401" s="32" t="str">
        <f t="shared" si="21"/>
        <v>Printed  Carton Sticker  7X4 CM</v>
      </c>
      <c r="AB401" s="32" t="s">
        <v>1063</v>
      </c>
    </row>
    <row r="402" spans="2:28" x14ac:dyDescent="0.25">
      <c r="B402" s="31" t="s">
        <v>6</v>
      </c>
      <c r="D402" s="32">
        <v>2003</v>
      </c>
      <c r="E402" s="31" t="s">
        <v>6</v>
      </c>
      <c r="F402" s="32" t="s">
        <v>248</v>
      </c>
      <c r="G402" s="32" t="s">
        <v>249</v>
      </c>
      <c r="H402" s="32" t="s">
        <v>97</v>
      </c>
      <c r="I402" s="31" t="s">
        <v>33</v>
      </c>
      <c r="J402" s="32" t="s">
        <v>93</v>
      </c>
      <c r="K402" s="34">
        <v>1</v>
      </c>
      <c r="O402" s="32">
        <v>6</v>
      </c>
      <c r="P402" s="32">
        <v>4</v>
      </c>
      <c r="Q402" s="32" t="s">
        <v>94</v>
      </c>
      <c r="T402" s="32" t="s">
        <v>119</v>
      </c>
      <c r="U402" s="32" t="s">
        <v>128</v>
      </c>
      <c r="V402" s="32">
        <v>80</v>
      </c>
      <c r="W402" s="32" t="s">
        <v>89</v>
      </c>
      <c r="X402" s="32" t="str">
        <f t="shared" si="19"/>
        <v>Printed Poly Sticker 6X4 CM</v>
      </c>
      <c r="Y402" s="31" t="s">
        <v>587</v>
      </c>
      <c r="Z402" s="32" t="str">
        <f t="shared" si="20"/>
        <v>Poly Sticker 6x4 CM Pollar Cutting 80 Glossy Sticker</v>
      </c>
      <c r="AA402" s="32" t="str">
        <f t="shared" si="21"/>
        <v>Printed  Band Roll  7.5X7.5 CM</v>
      </c>
      <c r="AB402" s="32" t="s">
        <v>1064</v>
      </c>
    </row>
    <row r="403" spans="2:28" x14ac:dyDescent="0.25">
      <c r="B403" s="31" t="s">
        <v>6</v>
      </c>
      <c r="D403" s="32">
        <v>2003</v>
      </c>
      <c r="E403" s="31" t="s">
        <v>6</v>
      </c>
      <c r="F403" s="32" t="s">
        <v>248</v>
      </c>
      <c r="G403" s="32" t="s">
        <v>249</v>
      </c>
      <c r="H403" s="32" t="s">
        <v>97</v>
      </c>
      <c r="I403" s="31" t="s">
        <v>155</v>
      </c>
      <c r="J403" s="32" t="s">
        <v>93</v>
      </c>
      <c r="K403" s="34">
        <v>1</v>
      </c>
      <c r="O403" s="32">
        <v>5.7</v>
      </c>
      <c r="P403" s="32">
        <v>3.2</v>
      </c>
      <c r="Q403" s="32" t="s">
        <v>94</v>
      </c>
      <c r="T403" s="32" t="s">
        <v>119</v>
      </c>
      <c r="U403" s="32" t="s">
        <v>128</v>
      </c>
      <c r="V403" s="32">
        <v>80</v>
      </c>
      <c r="W403" s="32" t="s">
        <v>89</v>
      </c>
      <c r="X403" s="32" t="str">
        <f t="shared" si="19"/>
        <v>Printed Hang Tag 5.7X3.2 CM</v>
      </c>
      <c r="Y403" s="31" t="s">
        <v>588</v>
      </c>
      <c r="Z403" s="32" t="str">
        <f t="shared" si="20"/>
        <v>Hang Tag 5.7x3.2 CM Pollar Cutting 80 Glossy Sticker</v>
      </c>
      <c r="AA403" s="32" t="str">
        <f t="shared" si="21"/>
        <v>Printed  Poly Sticker 4.2X3.7 CM</v>
      </c>
      <c r="AB403" s="32" t="s">
        <v>1065</v>
      </c>
    </row>
    <row r="404" spans="2:28" x14ac:dyDescent="0.25">
      <c r="B404" s="31" t="s">
        <v>6</v>
      </c>
      <c r="D404" s="32">
        <v>2003</v>
      </c>
      <c r="E404" s="31" t="s">
        <v>6</v>
      </c>
      <c r="F404" s="32" t="s">
        <v>248</v>
      </c>
      <c r="G404" s="32" t="s">
        <v>249</v>
      </c>
      <c r="H404" s="32" t="s">
        <v>97</v>
      </c>
      <c r="I404" s="31" t="s">
        <v>33</v>
      </c>
      <c r="J404" s="32" t="s">
        <v>93</v>
      </c>
      <c r="K404" s="34">
        <v>1</v>
      </c>
      <c r="O404" s="32">
        <v>6.7</v>
      </c>
      <c r="P404" s="32">
        <v>5.0999999999999996</v>
      </c>
      <c r="Q404" s="32" t="s">
        <v>94</v>
      </c>
      <c r="T404" s="32" t="s">
        <v>119</v>
      </c>
      <c r="U404" s="32" t="s">
        <v>128</v>
      </c>
      <c r="V404" s="32">
        <v>80</v>
      </c>
      <c r="W404" s="32" t="s">
        <v>89</v>
      </c>
      <c r="X404" s="32" t="str">
        <f t="shared" si="19"/>
        <v>Printed Poly Sticker 6.7X5.1 CM</v>
      </c>
      <c r="Y404" s="31" t="s">
        <v>589</v>
      </c>
      <c r="Z404" s="32" t="str">
        <f t="shared" si="20"/>
        <v>Poly Sticker 6.7x5.1 CM Pollar Cutting 80 Glossy Sticker</v>
      </c>
      <c r="AA404" s="32" t="str">
        <f t="shared" si="21"/>
        <v>Printed  Sticker 15X15 CM</v>
      </c>
      <c r="AB404" s="32" t="s">
        <v>1066</v>
      </c>
    </row>
    <row r="405" spans="2:28" x14ac:dyDescent="0.25">
      <c r="B405" s="31" t="s">
        <v>6</v>
      </c>
      <c r="D405" s="32">
        <v>2003</v>
      </c>
      <c r="E405" s="31" t="s">
        <v>6</v>
      </c>
      <c r="F405" s="32" t="s">
        <v>248</v>
      </c>
      <c r="G405" s="32" t="s">
        <v>249</v>
      </c>
      <c r="H405" s="32" t="s">
        <v>97</v>
      </c>
      <c r="I405" s="31" t="s">
        <v>33</v>
      </c>
      <c r="J405" s="32" t="s">
        <v>93</v>
      </c>
      <c r="K405" s="34">
        <v>1</v>
      </c>
      <c r="O405" s="32">
        <v>5.7</v>
      </c>
      <c r="P405" s="32">
        <v>3.5</v>
      </c>
      <c r="Q405" s="32" t="s">
        <v>94</v>
      </c>
      <c r="T405" s="32" t="s">
        <v>119</v>
      </c>
      <c r="U405" s="32" t="s">
        <v>128</v>
      </c>
      <c r="V405" s="32">
        <v>80</v>
      </c>
      <c r="W405" s="32" t="s">
        <v>89</v>
      </c>
      <c r="X405" s="32" t="str">
        <f t="shared" si="19"/>
        <v>Printed Poly Sticker 5.7X3.5 CM</v>
      </c>
      <c r="Y405" s="31" t="s">
        <v>590</v>
      </c>
      <c r="Z405" s="32" t="str">
        <f t="shared" si="20"/>
        <v>Poly Sticker 5.7x3.5 CM Pollar Cutting 80 Glossy Sticker</v>
      </c>
      <c r="AA405" s="32" t="str">
        <f t="shared" si="21"/>
        <v>Printed  Barcode Sticker  12.7X7.6 CM</v>
      </c>
      <c r="AB405" s="32" t="s">
        <v>1067</v>
      </c>
    </row>
    <row r="406" spans="2:28" x14ac:dyDescent="0.25">
      <c r="B406" s="31" t="s">
        <v>6</v>
      </c>
      <c r="D406" s="32">
        <v>2003</v>
      </c>
      <c r="E406" s="31" t="s">
        <v>6</v>
      </c>
      <c r="F406" s="32" t="s">
        <v>248</v>
      </c>
      <c r="G406" s="32" t="s">
        <v>249</v>
      </c>
      <c r="H406" s="32" t="s">
        <v>97</v>
      </c>
      <c r="I406" s="31" t="s">
        <v>137</v>
      </c>
      <c r="J406" s="32" t="s">
        <v>93</v>
      </c>
      <c r="K406" s="34">
        <v>1</v>
      </c>
      <c r="O406" s="32">
        <v>15</v>
      </c>
      <c r="P406" s="32">
        <v>10</v>
      </c>
      <c r="Q406" s="32" t="s">
        <v>94</v>
      </c>
      <c r="T406" s="32" t="s">
        <v>119</v>
      </c>
      <c r="U406" s="32" t="s">
        <v>128</v>
      </c>
      <c r="V406" s="32">
        <v>80</v>
      </c>
      <c r="W406" s="32" t="s">
        <v>89</v>
      </c>
      <c r="X406" s="32" t="str">
        <f t="shared" si="19"/>
        <v>Printed Carton Sticker  15X10 CM</v>
      </c>
      <c r="Y406" s="31" t="s">
        <v>591</v>
      </c>
      <c r="Z406" s="32" t="str">
        <f t="shared" si="20"/>
        <v>Carton Sticker  15x10 CM Pollar Cutting 80 Glossy Sticker</v>
      </c>
      <c r="AA406" s="32" t="str">
        <f t="shared" si="21"/>
        <v>Printed  Poly Sticker 4.6X4.5 CM</v>
      </c>
      <c r="AB406" s="32" t="s">
        <v>1068</v>
      </c>
    </row>
    <row r="407" spans="2:28" x14ac:dyDescent="0.25">
      <c r="B407" s="31" t="s">
        <v>6</v>
      </c>
      <c r="D407" s="32">
        <v>2003</v>
      </c>
      <c r="E407" s="31" t="s">
        <v>6</v>
      </c>
      <c r="F407" s="32" t="s">
        <v>248</v>
      </c>
      <c r="G407" s="32" t="s">
        <v>249</v>
      </c>
      <c r="H407" s="32" t="s">
        <v>97</v>
      </c>
      <c r="I407" s="31" t="s">
        <v>33</v>
      </c>
      <c r="J407" s="32" t="s">
        <v>93</v>
      </c>
      <c r="K407" s="34">
        <v>1</v>
      </c>
      <c r="O407" s="32">
        <v>5.5</v>
      </c>
      <c r="P407" s="32">
        <v>5</v>
      </c>
      <c r="Q407" s="32" t="s">
        <v>94</v>
      </c>
      <c r="T407" s="32" t="s">
        <v>119</v>
      </c>
      <c r="U407" s="32" t="s">
        <v>128</v>
      </c>
      <c r="V407" s="32">
        <v>80</v>
      </c>
      <c r="W407" s="32" t="s">
        <v>89</v>
      </c>
      <c r="X407" s="32" t="str">
        <f t="shared" si="19"/>
        <v>Printed Poly Sticker 5.5X5 CM</v>
      </c>
      <c r="Y407" s="31" t="s">
        <v>592</v>
      </c>
      <c r="Z407" s="32" t="str">
        <f t="shared" si="20"/>
        <v>Poly Sticker 5.5x5 CM Pollar Cutting 80 Glossy Sticker</v>
      </c>
      <c r="AA407" s="32" t="str">
        <f t="shared" si="21"/>
        <v>Non Printed  Tissue Paper 30X27 CM</v>
      </c>
      <c r="AB407" s="32" t="s">
        <v>1069</v>
      </c>
    </row>
    <row r="408" spans="2:28" x14ac:dyDescent="0.25">
      <c r="B408" s="31" t="s">
        <v>6</v>
      </c>
      <c r="D408" s="32">
        <v>2003</v>
      </c>
      <c r="E408" s="31" t="s">
        <v>6</v>
      </c>
      <c r="F408" s="32" t="s">
        <v>248</v>
      </c>
      <c r="G408" s="32" t="s">
        <v>249</v>
      </c>
      <c r="H408" s="32" t="s">
        <v>97</v>
      </c>
      <c r="I408" s="31" t="s">
        <v>137</v>
      </c>
      <c r="J408" s="32" t="s">
        <v>93</v>
      </c>
      <c r="K408" s="34">
        <v>1</v>
      </c>
      <c r="O408" s="32">
        <v>20</v>
      </c>
      <c r="P408" s="32">
        <v>9</v>
      </c>
      <c r="Q408" s="32" t="s">
        <v>94</v>
      </c>
      <c r="T408" s="32" t="s">
        <v>119</v>
      </c>
      <c r="U408" s="32" t="s">
        <v>128</v>
      </c>
      <c r="V408" s="32">
        <v>80</v>
      </c>
      <c r="W408" s="32" t="s">
        <v>89</v>
      </c>
      <c r="X408" s="32" t="str">
        <f t="shared" si="19"/>
        <v>Printed Carton Sticker  20X9 CM</v>
      </c>
      <c r="Y408" s="31" t="s">
        <v>593</v>
      </c>
      <c r="Z408" s="32" t="str">
        <f t="shared" si="20"/>
        <v>Carton Sticker  20x9 CM Pollar Cutting 80 Glossy Sticker</v>
      </c>
      <c r="AA408" s="32" t="str">
        <f t="shared" si="21"/>
        <v>Printed  Belly Band 73X15 CM</v>
      </c>
      <c r="AB408" s="32" t="s">
        <v>1070</v>
      </c>
    </row>
    <row r="409" spans="2:28" x14ac:dyDescent="0.25">
      <c r="B409" s="31" t="s">
        <v>6</v>
      </c>
      <c r="D409" s="32">
        <v>2003</v>
      </c>
      <c r="E409" s="31" t="s">
        <v>6</v>
      </c>
      <c r="F409" s="32" t="s">
        <v>248</v>
      </c>
      <c r="G409" s="32" t="s">
        <v>249</v>
      </c>
      <c r="H409" s="32" t="s">
        <v>97</v>
      </c>
      <c r="I409" s="31" t="s">
        <v>137</v>
      </c>
      <c r="J409" s="32" t="s">
        <v>93</v>
      </c>
      <c r="K409" s="34">
        <v>1</v>
      </c>
      <c r="O409" s="32">
        <v>7</v>
      </c>
      <c r="P409" s="32">
        <v>4</v>
      </c>
      <c r="Q409" s="32" t="s">
        <v>94</v>
      </c>
      <c r="T409" s="32" t="s">
        <v>119</v>
      </c>
      <c r="U409" s="32" t="s">
        <v>128</v>
      </c>
      <c r="V409" s="32">
        <v>80</v>
      </c>
      <c r="W409" s="32" t="s">
        <v>89</v>
      </c>
      <c r="X409" s="32" t="str">
        <f t="shared" si="19"/>
        <v>Printed Carton Sticker  7X4 CM</v>
      </c>
      <c r="Y409" s="31" t="s">
        <v>594</v>
      </c>
      <c r="Z409" s="32" t="str">
        <f t="shared" si="20"/>
        <v>Carton Sticker  7x4 CM Pollar Cutting 80 Glossy Sticker</v>
      </c>
      <c r="AA409" s="32" t="str">
        <f t="shared" si="21"/>
        <v>Printed  Catalog Book 58.8X21 CM</v>
      </c>
      <c r="AB409" s="32" t="s">
        <v>1071</v>
      </c>
    </row>
    <row r="410" spans="2:28" x14ac:dyDescent="0.25">
      <c r="B410" s="31" t="s">
        <v>6</v>
      </c>
      <c r="D410" s="32">
        <v>2003</v>
      </c>
      <c r="E410" s="31" t="s">
        <v>6</v>
      </c>
      <c r="F410" s="32" t="s">
        <v>248</v>
      </c>
      <c r="G410" s="32" t="s">
        <v>249</v>
      </c>
      <c r="H410" s="32" t="s">
        <v>97</v>
      </c>
      <c r="I410" s="31" t="s">
        <v>121</v>
      </c>
      <c r="J410" s="32" t="s">
        <v>93</v>
      </c>
      <c r="K410" s="34">
        <v>1</v>
      </c>
      <c r="O410" s="32">
        <v>7.5</v>
      </c>
      <c r="P410" s="32">
        <v>7.5</v>
      </c>
      <c r="Q410" s="32" t="s">
        <v>94</v>
      </c>
      <c r="T410" s="32" t="s">
        <v>119</v>
      </c>
      <c r="U410" s="32" t="s">
        <v>128</v>
      </c>
      <c r="V410" s="32">
        <v>80</v>
      </c>
      <c r="W410" s="32" t="s">
        <v>89</v>
      </c>
      <c r="X410" s="32" t="str">
        <f t="shared" si="19"/>
        <v>Printed Band Roll  7.5X7.5 CM</v>
      </c>
      <c r="Y410" s="31" t="s">
        <v>595</v>
      </c>
      <c r="Z410" s="32" t="str">
        <f t="shared" si="20"/>
        <v>Band Roll  7.5x7.5 CM Pollar Cutting 80 Glossy Sticker</v>
      </c>
      <c r="AA410" s="32" t="str">
        <f t="shared" si="21"/>
        <v>Printed  Carton Sticker  6X3 Inch</v>
      </c>
      <c r="AB410" s="32" t="s">
        <v>1072</v>
      </c>
    </row>
    <row r="411" spans="2:28" x14ac:dyDescent="0.25">
      <c r="B411" s="31" t="s">
        <v>6</v>
      </c>
      <c r="D411" s="32">
        <v>2003</v>
      </c>
      <c r="E411" s="31" t="s">
        <v>6</v>
      </c>
      <c r="F411" s="32" t="s">
        <v>248</v>
      </c>
      <c r="G411" s="32" t="s">
        <v>249</v>
      </c>
      <c r="H411" s="32" t="s">
        <v>97</v>
      </c>
      <c r="I411" s="31" t="s">
        <v>33</v>
      </c>
      <c r="J411" s="32" t="s">
        <v>93</v>
      </c>
      <c r="K411" s="34">
        <v>1</v>
      </c>
      <c r="O411" s="32">
        <v>4.2</v>
      </c>
      <c r="P411" s="32">
        <v>3.7</v>
      </c>
      <c r="Q411" s="32" t="s">
        <v>94</v>
      </c>
      <c r="T411" s="32" t="s">
        <v>119</v>
      </c>
      <c r="U411" s="32" t="s">
        <v>128</v>
      </c>
      <c r="V411" s="32">
        <v>80</v>
      </c>
      <c r="W411" s="32" t="s">
        <v>89</v>
      </c>
      <c r="X411" s="32" t="str">
        <f t="shared" si="19"/>
        <v>Printed Poly Sticker 4.2X3.7 CM</v>
      </c>
      <c r="Y411" s="31" t="s">
        <v>596</v>
      </c>
      <c r="Z411" s="32" t="str">
        <f t="shared" si="20"/>
        <v>Poly Sticker 4.2x3.7 CM Pollar Cutting 80 Glossy Sticker</v>
      </c>
      <c r="AA411" s="32" t="str">
        <f t="shared" si="21"/>
        <v>Printed  Sticker 4X4 Inch</v>
      </c>
      <c r="AB411" s="32" t="s">
        <v>1073</v>
      </c>
    </row>
    <row r="412" spans="2:28" x14ac:dyDescent="0.25">
      <c r="B412" s="31" t="s">
        <v>6</v>
      </c>
      <c r="D412" s="32">
        <v>2003</v>
      </c>
      <c r="E412" s="31" t="s">
        <v>6</v>
      </c>
      <c r="F412" s="32" t="s">
        <v>248</v>
      </c>
      <c r="G412" s="32" t="s">
        <v>249</v>
      </c>
      <c r="H412" s="32" t="s">
        <v>97</v>
      </c>
      <c r="I412" s="31" t="s">
        <v>102</v>
      </c>
      <c r="J412" s="32" t="s">
        <v>93</v>
      </c>
      <c r="K412" s="34">
        <v>1</v>
      </c>
      <c r="O412" s="32">
        <v>15</v>
      </c>
      <c r="P412" s="32">
        <v>15</v>
      </c>
      <c r="Q412" s="32" t="s">
        <v>94</v>
      </c>
      <c r="T412" s="32" t="s">
        <v>119</v>
      </c>
      <c r="U412" s="32" t="s">
        <v>128</v>
      </c>
      <c r="V412" s="32">
        <v>80</v>
      </c>
      <c r="W412" s="32" t="s">
        <v>89</v>
      </c>
      <c r="X412" s="32" t="str">
        <f t="shared" si="19"/>
        <v>Printed Sticker 15X15 CM</v>
      </c>
      <c r="Y412" s="31" t="s">
        <v>597</v>
      </c>
      <c r="Z412" s="32" t="str">
        <f t="shared" si="20"/>
        <v>Sticker 15x15 CM Pollar Cutting 80 Glossy Sticker</v>
      </c>
      <c r="AA412" s="32" t="str">
        <f t="shared" si="21"/>
        <v>Printed  Insert Belly Band  49X6 CM</v>
      </c>
      <c r="AB412" s="32" t="s">
        <v>1074</v>
      </c>
    </row>
    <row r="413" spans="2:28" x14ac:dyDescent="0.25">
      <c r="B413" s="31" t="s">
        <v>6</v>
      </c>
      <c r="D413" s="32">
        <v>2003</v>
      </c>
      <c r="E413" s="31" t="s">
        <v>6</v>
      </c>
      <c r="F413" s="32" t="s">
        <v>248</v>
      </c>
      <c r="G413" s="32" t="s">
        <v>249</v>
      </c>
      <c r="H413" s="32" t="s">
        <v>97</v>
      </c>
      <c r="I413" s="31" t="s">
        <v>340</v>
      </c>
      <c r="J413" s="32" t="s">
        <v>93</v>
      </c>
      <c r="K413" s="34">
        <v>1</v>
      </c>
      <c r="O413" s="32">
        <v>12.7</v>
      </c>
      <c r="P413" s="32">
        <v>7.6</v>
      </c>
      <c r="Q413" s="32" t="s">
        <v>94</v>
      </c>
      <c r="T413" s="32" t="s">
        <v>119</v>
      </c>
      <c r="U413" s="32" t="s">
        <v>128</v>
      </c>
      <c r="V413" s="32">
        <v>80</v>
      </c>
      <c r="W413" s="32" t="s">
        <v>89</v>
      </c>
      <c r="X413" s="32" t="str">
        <f t="shared" si="19"/>
        <v>Printed Barcode Sticker  12.7X7.6 CM</v>
      </c>
      <c r="Y413" s="31" t="s">
        <v>598</v>
      </c>
      <c r="Z413" s="32" t="str">
        <f t="shared" si="20"/>
        <v>Barcode Sticker  12.7x7.6 CM Pollar Cutting 80 Glossy Sticker</v>
      </c>
      <c r="AA413" s="32" t="str">
        <f t="shared" si="21"/>
        <v>Printed  Insert Belly Band  67.6X15 CM</v>
      </c>
      <c r="AB413" s="32" t="s">
        <v>1075</v>
      </c>
    </row>
    <row r="414" spans="2:28" x14ac:dyDescent="0.25">
      <c r="B414" s="31" t="s">
        <v>6</v>
      </c>
      <c r="D414" s="32">
        <v>2003</v>
      </c>
      <c r="E414" s="31" t="s">
        <v>6</v>
      </c>
      <c r="F414" s="32" t="s">
        <v>248</v>
      </c>
      <c r="G414" s="32" t="s">
        <v>249</v>
      </c>
      <c r="H414" s="32" t="s">
        <v>97</v>
      </c>
      <c r="I414" s="31" t="s">
        <v>33</v>
      </c>
      <c r="J414" s="32" t="s">
        <v>93</v>
      </c>
      <c r="K414" s="34">
        <v>1</v>
      </c>
      <c r="O414" s="32">
        <v>4.5999999999999996</v>
      </c>
      <c r="P414" s="32">
        <v>4.5</v>
      </c>
      <c r="Q414" s="32" t="s">
        <v>94</v>
      </c>
      <c r="T414" s="32" t="s">
        <v>119</v>
      </c>
      <c r="U414" s="32" t="s">
        <v>128</v>
      </c>
      <c r="V414" s="32">
        <v>80</v>
      </c>
      <c r="W414" s="32" t="s">
        <v>89</v>
      </c>
      <c r="X414" s="32" t="str">
        <f t="shared" si="19"/>
        <v>Printed Poly Sticker 4.6X4.5 CM</v>
      </c>
      <c r="Y414" s="31" t="s">
        <v>599</v>
      </c>
      <c r="Z414" s="32" t="str">
        <f t="shared" si="20"/>
        <v>Poly Sticker 4.6x4.5 CM Pollar Cutting 80 Glossy Sticker</v>
      </c>
      <c r="AA414" s="32" t="str">
        <f t="shared" si="21"/>
        <v>Printed  Insert Belly Band  45.6X6 CM</v>
      </c>
      <c r="AB414" s="32" t="s">
        <v>1076</v>
      </c>
    </row>
    <row r="415" spans="2:28" x14ac:dyDescent="0.25">
      <c r="B415" s="31" t="s">
        <v>6</v>
      </c>
      <c r="D415" s="32">
        <v>2003</v>
      </c>
      <c r="E415" s="31" t="s">
        <v>6</v>
      </c>
      <c r="F415" s="32" t="s">
        <v>248</v>
      </c>
      <c r="G415" s="32" t="s">
        <v>249</v>
      </c>
      <c r="H415" s="32" t="s">
        <v>97</v>
      </c>
      <c r="I415" s="33" t="s">
        <v>346</v>
      </c>
      <c r="J415" s="32" t="s">
        <v>238</v>
      </c>
      <c r="O415" s="32">
        <v>30</v>
      </c>
      <c r="P415" s="32">
        <v>27</v>
      </c>
      <c r="Q415" s="32" t="s">
        <v>94</v>
      </c>
      <c r="T415" s="32" t="s">
        <v>119</v>
      </c>
      <c r="U415" s="32" t="s">
        <v>346</v>
      </c>
      <c r="V415" s="32">
        <v>17</v>
      </c>
      <c r="W415" s="32" t="s">
        <v>89</v>
      </c>
      <c r="X415" s="32" t="str">
        <f t="shared" si="19"/>
        <v>Non Printed Tissue Paper 30X27 CM</v>
      </c>
      <c r="Y415" s="33" t="s">
        <v>600</v>
      </c>
      <c r="Z415" s="32" t="str">
        <f t="shared" si="20"/>
        <v>Tissue Paper 30x27 CM Pollar Cutting 17 Tissue Paper</v>
      </c>
      <c r="AA415" s="32" t="str">
        <f t="shared" si="21"/>
        <v>Printed  Insert Belly Band Sticker 54X9.5 CM</v>
      </c>
      <c r="AB415" s="32" t="s">
        <v>1077</v>
      </c>
    </row>
    <row r="416" spans="2:28" x14ac:dyDescent="0.25">
      <c r="B416" s="31" t="s">
        <v>6</v>
      </c>
      <c r="D416" s="32">
        <v>2003</v>
      </c>
      <c r="E416" s="31" t="s">
        <v>6</v>
      </c>
      <c r="F416" s="32" t="s">
        <v>248</v>
      </c>
      <c r="G416" s="32" t="s">
        <v>249</v>
      </c>
      <c r="H416" s="32" t="s">
        <v>97</v>
      </c>
      <c r="I416" s="33" t="s">
        <v>172</v>
      </c>
      <c r="J416" s="32" t="s">
        <v>93</v>
      </c>
      <c r="K416" s="34">
        <v>6</v>
      </c>
      <c r="O416" s="32">
        <v>73</v>
      </c>
      <c r="P416" s="32">
        <v>15</v>
      </c>
      <c r="Q416" s="32" t="s">
        <v>94</v>
      </c>
      <c r="S416" s="32" t="s">
        <v>320</v>
      </c>
      <c r="T416" s="32" t="s">
        <v>156</v>
      </c>
      <c r="U416" s="32" t="s">
        <v>110</v>
      </c>
      <c r="V416" s="32">
        <v>350</v>
      </c>
      <c r="W416" s="32" t="s">
        <v>89</v>
      </c>
      <c r="X416" s="32" t="str">
        <f t="shared" si="19"/>
        <v>Printed Belly Band 73X15 CM</v>
      </c>
      <c r="Y416" s="33" t="s">
        <v>601</v>
      </c>
      <c r="Z416" s="32" t="str">
        <f t="shared" si="20"/>
        <v>Belly Band 73x15 CM Die Cutting  350 Swedish Board</v>
      </c>
      <c r="AA416" s="32" t="str">
        <f t="shared" si="21"/>
        <v>Printed  Insert Belly Band Sticker  41X9.5 CM</v>
      </c>
      <c r="AB416" s="32" t="s">
        <v>1078</v>
      </c>
    </row>
    <row r="417" spans="2:28" x14ac:dyDescent="0.25">
      <c r="B417" s="31" t="s">
        <v>6</v>
      </c>
      <c r="D417" s="32">
        <v>2003</v>
      </c>
      <c r="E417" s="31" t="s">
        <v>6</v>
      </c>
      <c r="F417" s="32" t="s">
        <v>248</v>
      </c>
      <c r="G417" s="32" t="s">
        <v>249</v>
      </c>
      <c r="H417" s="32" t="s">
        <v>97</v>
      </c>
      <c r="I417" s="33" t="s">
        <v>658</v>
      </c>
      <c r="J417" s="32" t="s">
        <v>93</v>
      </c>
      <c r="K417" s="34">
        <v>1</v>
      </c>
      <c r="O417" s="32">
        <v>58.8</v>
      </c>
      <c r="P417" s="32">
        <v>21</v>
      </c>
      <c r="Q417" s="32" t="s">
        <v>94</v>
      </c>
      <c r="T417" s="32" t="s">
        <v>119</v>
      </c>
      <c r="U417" s="32" t="s">
        <v>185</v>
      </c>
      <c r="V417" s="32">
        <v>80</v>
      </c>
      <c r="W417" s="32" t="s">
        <v>89</v>
      </c>
      <c r="X417" s="32" t="str">
        <f t="shared" si="19"/>
        <v>Printed Catalog Book 58.8X21 CM</v>
      </c>
      <c r="Y417" s="33" t="s">
        <v>602</v>
      </c>
      <c r="Z417" s="32" t="str">
        <f t="shared" si="20"/>
        <v>Catalog Book 58.8x21 CM Pollar Cutting 80 Offset Paper</v>
      </c>
      <c r="AA417" s="32" t="str">
        <f t="shared" si="21"/>
        <v>Printed  Insert Belly Band Sticker 46X9.5 CM</v>
      </c>
      <c r="AB417" s="32" t="s">
        <v>1079</v>
      </c>
    </row>
    <row r="418" spans="2:28" x14ac:dyDescent="0.25">
      <c r="B418" s="31" t="s">
        <v>6</v>
      </c>
      <c r="D418" s="32">
        <v>2003</v>
      </c>
      <c r="E418" s="31" t="s">
        <v>6</v>
      </c>
      <c r="F418" s="32" t="s">
        <v>248</v>
      </c>
      <c r="G418" s="32" t="s">
        <v>249</v>
      </c>
      <c r="H418" s="32" t="s">
        <v>97</v>
      </c>
      <c r="I418" s="31" t="s">
        <v>137</v>
      </c>
      <c r="J418" s="32" t="s">
        <v>93</v>
      </c>
      <c r="K418" s="34">
        <v>1</v>
      </c>
      <c r="O418" s="32">
        <v>6</v>
      </c>
      <c r="P418" s="32">
        <v>3</v>
      </c>
      <c r="Q418" s="32" t="s">
        <v>95</v>
      </c>
      <c r="T418" s="32" t="s">
        <v>119</v>
      </c>
      <c r="U418" s="32" t="s">
        <v>128</v>
      </c>
      <c r="V418" s="32">
        <v>80</v>
      </c>
      <c r="W418" s="32" t="s">
        <v>89</v>
      </c>
      <c r="X418" s="32" t="str">
        <f t="shared" si="19"/>
        <v>Printed Carton Sticker  6X3 Inch</v>
      </c>
      <c r="Y418" s="33" t="s">
        <v>603</v>
      </c>
      <c r="Z418" s="32" t="str">
        <f t="shared" si="20"/>
        <v>Carton Sticker  6x3 Inch Pollar Cutting 80 Glossy Sticker</v>
      </c>
      <c r="AA418" s="32" t="str">
        <f t="shared" si="21"/>
        <v>Printed  Insert Belly Band Sticker 50X9.5 CM</v>
      </c>
      <c r="AB418" s="32" t="s">
        <v>1080</v>
      </c>
    </row>
    <row r="419" spans="2:28" x14ac:dyDescent="0.25">
      <c r="B419" s="31" t="s">
        <v>6</v>
      </c>
      <c r="D419" s="32">
        <v>2003</v>
      </c>
      <c r="E419" s="31" t="s">
        <v>6</v>
      </c>
      <c r="F419" s="32" t="s">
        <v>248</v>
      </c>
      <c r="G419" s="32" t="s">
        <v>249</v>
      </c>
      <c r="H419" s="32" t="s">
        <v>97</v>
      </c>
      <c r="I419" s="33" t="s">
        <v>102</v>
      </c>
      <c r="J419" s="32" t="s">
        <v>93</v>
      </c>
      <c r="K419" s="34">
        <v>2</v>
      </c>
      <c r="O419" s="32">
        <v>4</v>
      </c>
      <c r="P419" s="32">
        <v>4</v>
      </c>
      <c r="Q419" s="32" t="s">
        <v>95</v>
      </c>
      <c r="T419" s="32" t="s">
        <v>119</v>
      </c>
      <c r="U419" s="32" t="s">
        <v>128</v>
      </c>
      <c r="V419" s="32">
        <v>80</v>
      </c>
      <c r="W419" s="32" t="s">
        <v>89</v>
      </c>
      <c r="X419" s="32" t="str">
        <f t="shared" si="19"/>
        <v>Printed Sticker 4X4 Inch</v>
      </c>
      <c r="Y419" s="31" t="s">
        <v>604</v>
      </c>
      <c r="Z419" s="32" t="str">
        <f t="shared" si="20"/>
        <v>Sticker 4x4 Inch Pollar Cutting 80 Glossy Sticker</v>
      </c>
      <c r="AA419" s="32" t="str">
        <f t="shared" si="21"/>
        <v>Printed  Insert Belly Band Sticker 32X9.5 CM</v>
      </c>
      <c r="AB419" s="32" t="s">
        <v>1081</v>
      </c>
    </row>
    <row r="420" spans="2:28" x14ac:dyDescent="0.25">
      <c r="B420" s="31" t="s">
        <v>6</v>
      </c>
      <c r="D420" s="32">
        <v>2003</v>
      </c>
      <c r="E420" s="31" t="s">
        <v>6</v>
      </c>
      <c r="F420" s="32" t="s">
        <v>248</v>
      </c>
      <c r="G420" s="32" t="s">
        <v>249</v>
      </c>
      <c r="H420" s="32" t="s">
        <v>97</v>
      </c>
      <c r="I420" s="31" t="s">
        <v>247</v>
      </c>
      <c r="J420" s="32" t="s">
        <v>93</v>
      </c>
      <c r="K420" s="34">
        <v>4</v>
      </c>
      <c r="L420" s="33"/>
      <c r="O420" s="36">
        <v>49</v>
      </c>
      <c r="P420" s="32">
        <v>6</v>
      </c>
      <c r="Q420" s="32" t="s">
        <v>94</v>
      </c>
      <c r="S420" s="32" t="s">
        <v>213</v>
      </c>
      <c r="T420" s="32" t="s">
        <v>119</v>
      </c>
      <c r="U420" s="32" t="s">
        <v>110</v>
      </c>
      <c r="V420" s="32">
        <v>300</v>
      </c>
      <c r="W420" s="32" t="s">
        <v>89</v>
      </c>
      <c r="X420" s="32" t="str">
        <f t="shared" si="19"/>
        <v>Printed Insert Belly Band  49X6 CM</v>
      </c>
      <c r="Y420" s="33" t="s">
        <v>605</v>
      </c>
      <c r="Z420" s="32" t="str">
        <f t="shared" si="20"/>
        <v>Insert Belly Band  49x6 CM Pollar Cutting 300 Swedish Board</v>
      </c>
      <c r="AA420" s="32" t="str">
        <f t="shared" si="21"/>
        <v>Printed  Insert Belly Band Sticker  33X9.5 CM</v>
      </c>
      <c r="AB420" s="32" t="s">
        <v>1082</v>
      </c>
    </row>
    <row r="421" spans="2:28" x14ac:dyDescent="0.25">
      <c r="B421" s="31" t="s">
        <v>6</v>
      </c>
      <c r="D421" s="32">
        <v>2003</v>
      </c>
      <c r="E421" s="31" t="s">
        <v>6</v>
      </c>
      <c r="F421" s="32" t="s">
        <v>248</v>
      </c>
      <c r="G421" s="32" t="s">
        <v>249</v>
      </c>
      <c r="H421" s="32" t="s">
        <v>97</v>
      </c>
      <c r="I421" s="31" t="s">
        <v>247</v>
      </c>
      <c r="J421" s="32" t="s">
        <v>93</v>
      </c>
      <c r="K421" s="34">
        <v>2</v>
      </c>
      <c r="L421" s="33"/>
      <c r="O421" s="36">
        <v>67.599999999999994</v>
      </c>
      <c r="P421" s="32">
        <v>15</v>
      </c>
      <c r="Q421" s="32" t="s">
        <v>94</v>
      </c>
      <c r="S421" s="32" t="s">
        <v>213</v>
      </c>
      <c r="T421" s="32" t="s">
        <v>119</v>
      </c>
      <c r="U421" s="32" t="s">
        <v>110</v>
      </c>
      <c r="V421" s="32">
        <v>300</v>
      </c>
      <c r="W421" s="32" t="s">
        <v>89</v>
      </c>
      <c r="X421" s="32" t="str">
        <f t="shared" si="19"/>
        <v>Printed Insert Belly Band  67.6X15 CM</v>
      </c>
      <c r="Y421" s="33" t="s">
        <v>606</v>
      </c>
      <c r="Z421" s="32" t="str">
        <f t="shared" si="20"/>
        <v>Insert Belly Band  67.6x15 CM Pollar Cutting 300 Swedish Board</v>
      </c>
      <c r="AA421" s="32" t="str">
        <f t="shared" si="21"/>
        <v>Printed  Sticker 24X9 Inch</v>
      </c>
      <c r="AB421" s="32" t="s">
        <v>1083</v>
      </c>
    </row>
    <row r="422" spans="2:28" x14ac:dyDescent="0.25">
      <c r="B422" s="31" t="s">
        <v>6</v>
      </c>
      <c r="D422" s="32">
        <v>2003</v>
      </c>
      <c r="E422" s="31" t="s">
        <v>6</v>
      </c>
      <c r="F422" s="32" t="s">
        <v>248</v>
      </c>
      <c r="G422" s="32" t="s">
        <v>249</v>
      </c>
      <c r="H422" s="32" t="s">
        <v>97</v>
      </c>
      <c r="I422" s="31" t="s">
        <v>247</v>
      </c>
      <c r="J422" s="32" t="s">
        <v>93</v>
      </c>
      <c r="K422" s="34">
        <v>4</v>
      </c>
      <c r="L422" s="33"/>
      <c r="O422" s="32">
        <v>45.6</v>
      </c>
      <c r="P422" s="32">
        <v>6</v>
      </c>
      <c r="Q422" s="32" t="s">
        <v>94</v>
      </c>
      <c r="S422" s="32" t="s">
        <v>213</v>
      </c>
      <c r="T422" s="32" t="s">
        <v>119</v>
      </c>
      <c r="U422" s="32" t="s">
        <v>110</v>
      </c>
      <c r="V422" s="32">
        <v>300</v>
      </c>
      <c r="W422" s="32" t="s">
        <v>89</v>
      </c>
      <c r="X422" s="32" t="str">
        <f t="shared" si="19"/>
        <v>Printed Insert Belly Band  45.6X6 CM</v>
      </c>
      <c r="Y422" s="33" t="s">
        <v>607</v>
      </c>
      <c r="Z422" s="32" t="str">
        <f t="shared" si="20"/>
        <v>Insert Belly Band  45.6x6 CM Pollar Cutting 300 Swedish Board</v>
      </c>
      <c r="AA422" s="32" t="str">
        <f t="shared" si="21"/>
        <v>Printed  Paper Band Roll  14X11 Inch</v>
      </c>
      <c r="AB422" s="32" t="s">
        <v>1084</v>
      </c>
    </row>
    <row r="423" spans="2:28" x14ac:dyDescent="0.25">
      <c r="B423" s="31" t="s">
        <v>6</v>
      </c>
      <c r="D423" s="32">
        <v>2003</v>
      </c>
      <c r="E423" s="31" t="s">
        <v>6</v>
      </c>
      <c r="F423" s="32" t="s">
        <v>248</v>
      </c>
      <c r="G423" s="32" t="s">
        <v>249</v>
      </c>
      <c r="H423" s="32" t="s">
        <v>97</v>
      </c>
      <c r="I423" s="33" t="s">
        <v>133</v>
      </c>
      <c r="J423" s="32" t="s">
        <v>93</v>
      </c>
      <c r="K423" s="34">
        <v>6</v>
      </c>
      <c r="L423" s="33"/>
      <c r="O423" s="32">
        <v>54</v>
      </c>
      <c r="P423" s="32">
        <v>9.5</v>
      </c>
      <c r="Q423" s="32" t="s">
        <v>94</v>
      </c>
      <c r="T423" s="32" t="s">
        <v>119</v>
      </c>
      <c r="U423" s="32" t="s">
        <v>128</v>
      </c>
      <c r="V423" s="32">
        <v>80</v>
      </c>
      <c r="W423" s="32" t="s">
        <v>89</v>
      </c>
      <c r="X423" s="32" t="str">
        <f t="shared" si="19"/>
        <v>Printed Insert Belly Band Sticker 54X9.5 CM</v>
      </c>
      <c r="Y423" s="33" t="s">
        <v>608</v>
      </c>
      <c r="Z423" s="32" t="str">
        <f t="shared" si="20"/>
        <v>Insert Belly Band Sticker 54x9.5 CM Pollar Cutting 80 Glossy Sticker</v>
      </c>
      <c r="AA423" s="32" t="str">
        <f t="shared" si="21"/>
        <v>Printed  Paper Band Roll  22X11 Inch</v>
      </c>
      <c r="AB423" s="32" t="s">
        <v>1085</v>
      </c>
    </row>
    <row r="424" spans="2:28" ht="13" x14ac:dyDescent="0.3">
      <c r="B424" s="31" t="s">
        <v>6</v>
      </c>
      <c r="D424" s="32">
        <v>2003</v>
      </c>
      <c r="E424" s="31" t="s">
        <v>6</v>
      </c>
      <c r="F424" s="32" t="s">
        <v>248</v>
      </c>
      <c r="G424" s="32" t="s">
        <v>249</v>
      </c>
      <c r="H424" s="32" t="s">
        <v>97</v>
      </c>
      <c r="I424" s="31" t="s">
        <v>130</v>
      </c>
      <c r="J424" s="32" t="s">
        <v>93</v>
      </c>
      <c r="K424" s="34">
        <v>6</v>
      </c>
      <c r="L424" s="33"/>
      <c r="O424" s="32">
        <v>41</v>
      </c>
      <c r="P424" s="32">
        <v>9.5</v>
      </c>
      <c r="Q424" s="32" t="s">
        <v>94</v>
      </c>
      <c r="T424" s="32" t="s">
        <v>119</v>
      </c>
      <c r="U424" s="32" t="s">
        <v>128</v>
      </c>
      <c r="V424" s="32">
        <v>80</v>
      </c>
      <c r="W424" s="32" t="s">
        <v>89</v>
      </c>
      <c r="X424" s="32" t="str">
        <f t="shared" si="19"/>
        <v>Printed Insert Belly Band Sticker  41X9.5 CM</v>
      </c>
      <c r="Y424" s="44" t="s">
        <v>609</v>
      </c>
      <c r="Z424" s="32" t="str">
        <f t="shared" si="20"/>
        <v>Insert Belly Band Sticker  41x9.5 CM Pollar Cutting 80 Glossy Sticker</v>
      </c>
      <c r="AA424" s="32" t="str">
        <f t="shared" si="21"/>
        <v>Printed  Band Roll  90.5X19 CM</v>
      </c>
      <c r="AB424" s="32" t="s">
        <v>1086</v>
      </c>
    </row>
    <row r="425" spans="2:28" ht="13" x14ac:dyDescent="0.3">
      <c r="B425" s="31" t="s">
        <v>6</v>
      </c>
      <c r="D425" s="32">
        <v>2003</v>
      </c>
      <c r="E425" s="31" t="s">
        <v>6</v>
      </c>
      <c r="F425" s="32" t="s">
        <v>248</v>
      </c>
      <c r="G425" s="32" t="s">
        <v>249</v>
      </c>
      <c r="H425" s="32" t="s">
        <v>97</v>
      </c>
      <c r="I425" s="31" t="s">
        <v>133</v>
      </c>
      <c r="J425" s="32" t="s">
        <v>93</v>
      </c>
      <c r="K425" s="34">
        <v>4</v>
      </c>
      <c r="L425" s="33"/>
      <c r="O425" s="32">
        <v>46</v>
      </c>
      <c r="P425" s="32">
        <v>9.5</v>
      </c>
      <c r="Q425" s="32" t="s">
        <v>94</v>
      </c>
      <c r="T425" s="32" t="s">
        <v>119</v>
      </c>
      <c r="U425" s="32" t="s">
        <v>128</v>
      </c>
      <c r="V425" s="32">
        <v>80</v>
      </c>
      <c r="W425" s="32" t="s">
        <v>89</v>
      </c>
      <c r="X425" s="32" t="str">
        <f t="shared" si="19"/>
        <v>Printed Insert Belly Band Sticker 46X9.5 CM</v>
      </c>
      <c r="Y425" s="44" t="s">
        <v>610</v>
      </c>
      <c r="Z425" s="32" t="str">
        <f t="shared" si="20"/>
        <v>Insert Belly Band Sticker 46x9.5 CM Pollar Cutting 80 Glossy Sticker</v>
      </c>
      <c r="AA425" s="32" t="str">
        <f t="shared" si="21"/>
        <v>Printed  Band Roll 80.5X19 CM</v>
      </c>
      <c r="AB425" s="32" t="s">
        <v>1087</v>
      </c>
    </row>
    <row r="426" spans="2:28" ht="13" x14ac:dyDescent="0.3">
      <c r="B426" s="31" t="s">
        <v>6</v>
      </c>
      <c r="D426" s="32">
        <v>2003</v>
      </c>
      <c r="E426" s="31" t="s">
        <v>6</v>
      </c>
      <c r="F426" s="32" t="s">
        <v>248</v>
      </c>
      <c r="G426" s="32" t="s">
        <v>249</v>
      </c>
      <c r="H426" s="32" t="s">
        <v>97</v>
      </c>
      <c r="I426" s="31" t="s">
        <v>133</v>
      </c>
      <c r="J426" s="32" t="s">
        <v>93</v>
      </c>
      <c r="K426" s="34">
        <v>6</v>
      </c>
      <c r="L426" s="33"/>
      <c r="O426" s="32">
        <v>50</v>
      </c>
      <c r="P426" s="32">
        <v>9.5</v>
      </c>
      <c r="Q426" s="32" t="s">
        <v>94</v>
      </c>
      <c r="T426" s="32" t="s">
        <v>119</v>
      </c>
      <c r="U426" s="32" t="s">
        <v>128</v>
      </c>
      <c r="V426" s="32">
        <v>80</v>
      </c>
      <c r="W426" s="32" t="s">
        <v>89</v>
      </c>
      <c r="X426" s="32" t="str">
        <f t="shared" si="19"/>
        <v>Printed Insert Belly Band Sticker 50X9.5 CM</v>
      </c>
      <c r="Y426" s="44" t="s">
        <v>611</v>
      </c>
      <c r="Z426" s="32" t="str">
        <f t="shared" si="20"/>
        <v>Insert Belly Band Sticker 50x9.5 CM Pollar Cutting 80 Glossy Sticker</v>
      </c>
      <c r="AA426" s="32" t="str">
        <f t="shared" si="21"/>
        <v>Printed  Sticker 10X7.5 Inch</v>
      </c>
      <c r="AB426" s="32" t="s">
        <v>1088</v>
      </c>
    </row>
    <row r="427" spans="2:28" ht="13" x14ac:dyDescent="0.3">
      <c r="B427" s="31" t="s">
        <v>6</v>
      </c>
      <c r="D427" s="32">
        <v>2003</v>
      </c>
      <c r="E427" s="31" t="s">
        <v>6</v>
      </c>
      <c r="F427" s="32" t="s">
        <v>248</v>
      </c>
      <c r="G427" s="32" t="s">
        <v>249</v>
      </c>
      <c r="H427" s="32" t="s">
        <v>97</v>
      </c>
      <c r="I427" s="31" t="s">
        <v>133</v>
      </c>
      <c r="J427" s="32" t="s">
        <v>93</v>
      </c>
      <c r="K427" s="34">
        <v>6</v>
      </c>
      <c r="L427" s="33"/>
      <c r="O427" s="32">
        <v>32</v>
      </c>
      <c r="P427" s="32">
        <v>9.5</v>
      </c>
      <c r="Q427" s="32" t="s">
        <v>94</v>
      </c>
      <c r="T427" s="32" t="s">
        <v>119</v>
      </c>
      <c r="U427" s="32" t="s">
        <v>128</v>
      </c>
      <c r="V427" s="32">
        <v>80</v>
      </c>
      <c r="W427" s="32" t="s">
        <v>89</v>
      </c>
      <c r="X427" s="32" t="str">
        <f t="shared" si="19"/>
        <v>Printed Insert Belly Band Sticker 32X9.5 CM</v>
      </c>
      <c r="Y427" s="44" t="s">
        <v>612</v>
      </c>
      <c r="Z427" s="32" t="str">
        <f t="shared" si="20"/>
        <v>Insert Belly Band Sticker 32x9.5 CM Pollar Cutting 80 Glossy Sticker</v>
      </c>
      <c r="AA427" s="32" t="str">
        <f t="shared" si="21"/>
        <v>Printed  Round Sticker  7X CM</v>
      </c>
      <c r="AB427" s="32" t="s">
        <v>1089</v>
      </c>
    </row>
    <row r="428" spans="2:28" ht="13" x14ac:dyDescent="0.3">
      <c r="B428" s="31" t="s">
        <v>6</v>
      </c>
      <c r="D428" s="32">
        <v>2003</v>
      </c>
      <c r="E428" s="31" t="s">
        <v>6</v>
      </c>
      <c r="F428" s="32" t="s">
        <v>248</v>
      </c>
      <c r="G428" s="32" t="s">
        <v>249</v>
      </c>
      <c r="H428" s="32" t="s">
        <v>97</v>
      </c>
      <c r="I428" s="31" t="s">
        <v>130</v>
      </c>
      <c r="J428" s="32" t="s">
        <v>93</v>
      </c>
      <c r="K428" s="34">
        <v>6</v>
      </c>
      <c r="L428" s="33"/>
      <c r="O428" s="32">
        <v>33</v>
      </c>
      <c r="P428" s="32">
        <v>9.5</v>
      </c>
      <c r="Q428" s="32" t="s">
        <v>94</v>
      </c>
      <c r="T428" s="32" t="s">
        <v>119</v>
      </c>
      <c r="U428" s="32" t="s">
        <v>128</v>
      </c>
      <c r="V428" s="32">
        <v>80</v>
      </c>
      <c r="W428" s="32" t="s">
        <v>89</v>
      </c>
      <c r="X428" s="32" t="str">
        <f t="shared" si="19"/>
        <v>Printed Insert Belly Band Sticker  33X9.5 CM</v>
      </c>
      <c r="Y428" s="44" t="s">
        <v>613</v>
      </c>
      <c r="Z428" s="32" t="str">
        <f t="shared" si="20"/>
        <v>Insert Belly Band Sticker  33x9.5 CM Pollar Cutting 80 Glossy Sticker</v>
      </c>
      <c r="AA428" s="32" t="str">
        <f t="shared" si="21"/>
        <v>Printed  Transparent Stcker 77X30 MM</v>
      </c>
      <c r="AB428" s="32" t="s">
        <v>1090</v>
      </c>
    </row>
    <row r="429" spans="2:28" x14ac:dyDescent="0.25">
      <c r="B429" s="31" t="s">
        <v>6</v>
      </c>
      <c r="D429" s="32">
        <v>2003</v>
      </c>
      <c r="E429" s="31" t="s">
        <v>6</v>
      </c>
      <c r="F429" s="32" t="s">
        <v>248</v>
      </c>
      <c r="G429" s="32" t="s">
        <v>249</v>
      </c>
      <c r="H429" s="32" t="s">
        <v>97</v>
      </c>
      <c r="I429" s="35" t="s">
        <v>102</v>
      </c>
      <c r="J429" s="32" t="s">
        <v>93</v>
      </c>
      <c r="K429" s="34">
        <v>1</v>
      </c>
      <c r="L429" s="31"/>
      <c r="O429" s="34">
        <v>24</v>
      </c>
      <c r="P429" s="34">
        <v>9</v>
      </c>
      <c r="Q429" s="34" t="s">
        <v>95</v>
      </c>
      <c r="R429" s="34"/>
      <c r="S429" s="34"/>
      <c r="T429" s="34" t="s">
        <v>119</v>
      </c>
      <c r="U429" s="34" t="s">
        <v>185</v>
      </c>
      <c r="V429" s="34">
        <v>80</v>
      </c>
      <c r="W429" s="34" t="s">
        <v>89</v>
      </c>
      <c r="X429" s="32" t="str">
        <f t="shared" si="19"/>
        <v>Printed Sticker 24X9 Inch</v>
      </c>
      <c r="Y429" s="31" t="s">
        <v>614</v>
      </c>
      <c r="Z429" s="32" t="str">
        <f t="shared" si="20"/>
        <v>Sticker 24x9 Inch Pollar Cutting 80 Offset Paper</v>
      </c>
      <c r="AA429" s="32" t="str">
        <f t="shared" si="21"/>
        <v>Printed  Transparent Stcker 72X30 MM</v>
      </c>
      <c r="AB429" s="32" t="s">
        <v>1091</v>
      </c>
    </row>
    <row r="430" spans="2:28" x14ac:dyDescent="0.25">
      <c r="B430" s="31" t="s">
        <v>6</v>
      </c>
      <c r="D430" s="32">
        <v>2003</v>
      </c>
      <c r="E430" s="31" t="s">
        <v>6</v>
      </c>
      <c r="F430" s="32" t="s">
        <v>248</v>
      </c>
      <c r="G430" s="32" t="s">
        <v>249</v>
      </c>
      <c r="H430" s="32" t="s">
        <v>97</v>
      </c>
      <c r="I430" s="31" t="s">
        <v>654</v>
      </c>
      <c r="J430" s="32" t="s">
        <v>93</v>
      </c>
      <c r="K430" s="34">
        <v>4</v>
      </c>
      <c r="L430" s="33"/>
      <c r="O430" s="34">
        <v>14</v>
      </c>
      <c r="P430" s="34">
        <v>11</v>
      </c>
      <c r="Q430" s="34" t="s">
        <v>95</v>
      </c>
      <c r="R430" s="34"/>
      <c r="S430" s="34"/>
      <c r="T430" s="34" t="s">
        <v>119</v>
      </c>
      <c r="U430" s="34" t="s">
        <v>173</v>
      </c>
      <c r="V430" s="34">
        <v>160</v>
      </c>
      <c r="W430" s="34" t="s">
        <v>89</v>
      </c>
      <c r="X430" s="32" t="str">
        <f t="shared" si="19"/>
        <v>Printed Paper Band Roll  14X11 Inch</v>
      </c>
      <c r="Y430" s="31" t="s">
        <v>615</v>
      </c>
      <c r="Z430" s="32" t="str">
        <f t="shared" si="20"/>
        <v>Paper Band Roll  14x11 Inch Pollar Cutting 160 Kraft Paper</v>
      </c>
      <c r="AA430" s="32" t="str">
        <f t="shared" si="21"/>
        <v>Printed  Transparent Stcker 117X30 MM</v>
      </c>
      <c r="AB430" s="32" t="s">
        <v>1092</v>
      </c>
    </row>
    <row r="431" spans="2:28" x14ac:dyDescent="0.25">
      <c r="B431" s="31" t="s">
        <v>6</v>
      </c>
      <c r="D431" s="32">
        <v>2003</v>
      </c>
      <c r="E431" s="31" t="s">
        <v>6</v>
      </c>
      <c r="F431" s="32" t="s">
        <v>248</v>
      </c>
      <c r="G431" s="32" t="s">
        <v>249</v>
      </c>
      <c r="H431" s="32" t="s">
        <v>97</v>
      </c>
      <c r="I431" s="31" t="s">
        <v>654</v>
      </c>
      <c r="J431" s="32" t="s">
        <v>93</v>
      </c>
      <c r="K431" s="34">
        <v>4</v>
      </c>
      <c r="L431" s="33"/>
      <c r="O431" s="34">
        <v>22</v>
      </c>
      <c r="P431" s="34">
        <v>11</v>
      </c>
      <c r="Q431" s="34" t="s">
        <v>95</v>
      </c>
      <c r="R431" s="34"/>
      <c r="S431" s="34"/>
      <c r="T431" s="34" t="s">
        <v>119</v>
      </c>
      <c r="U431" s="34" t="s">
        <v>173</v>
      </c>
      <c r="V431" s="34">
        <v>160</v>
      </c>
      <c r="W431" s="34" t="s">
        <v>89</v>
      </c>
      <c r="X431" s="32" t="str">
        <f t="shared" si="19"/>
        <v>Printed Paper Band Roll  22X11 Inch</v>
      </c>
      <c r="Y431" s="33" t="s">
        <v>616</v>
      </c>
      <c r="Z431" s="32" t="str">
        <f t="shared" si="20"/>
        <v>Paper Band Roll  22x11 Inch Pollar Cutting 160 Kraft Paper</v>
      </c>
      <c r="AA431" s="32" t="str">
        <f t="shared" si="21"/>
        <v>Printed  Transparent Stcker 97X50 MM</v>
      </c>
      <c r="AB431" s="32" t="s">
        <v>1093</v>
      </c>
    </row>
    <row r="432" spans="2:28" x14ac:dyDescent="0.25">
      <c r="B432" s="31" t="s">
        <v>6</v>
      </c>
      <c r="D432" s="32">
        <v>2003</v>
      </c>
      <c r="E432" s="31" t="s">
        <v>6</v>
      </c>
      <c r="F432" s="32" t="s">
        <v>248</v>
      </c>
      <c r="G432" s="32" t="s">
        <v>249</v>
      </c>
      <c r="H432" s="32" t="s">
        <v>97</v>
      </c>
      <c r="I432" s="31" t="s">
        <v>121</v>
      </c>
      <c r="J432" s="32" t="s">
        <v>93</v>
      </c>
      <c r="K432" s="34">
        <v>5</v>
      </c>
      <c r="L432" s="33"/>
      <c r="O432" s="34">
        <v>90.5</v>
      </c>
      <c r="P432" s="34">
        <v>19</v>
      </c>
      <c r="Q432" s="34" t="s">
        <v>94</v>
      </c>
      <c r="R432" s="34"/>
      <c r="S432" s="34"/>
      <c r="T432" s="32" t="s">
        <v>156</v>
      </c>
      <c r="U432" s="34" t="s">
        <v>120</v>
      </c>
      <c r="V432" s="34">
        <v>220</v>
      </c>
      <c r="W432" s="34" t="s">
        <v>89</v>
      </c>
      <c r="X432" s="32" t="str">
        <f t="shared" si="19"/>
        <v>Printed Band Roll  90.5X19 CM</v>
      </c>
      <c r="Y432" s="33" t="s">
        <v>617</v>
      </c>
      <c r="Z432" s="32" t="str">
        <f t="shared" si="20"/>
        <v>Band Roll  90.5x19 CM Die Cutting  220 Solid Bleach Board</v>
      </c>
      <c r="AA432" s="32" t="str">
        <f t="shared" si="21"/>
        <v>Printed  Transparent Stcker 107X50 MM</v>
      </c>
      <c r="AB432" s="32" t="s">
        <v>1094</v>
      </c>
    </row>
    <row r="433" spans="2:28" x14ac:dyDescent="0.25">
      <c r="B433" s="31" t="s">
        <v>6</v>
      </c>
      <c r="D433" s="32">
        <v>2003</v>
      </c>
      <c r="E433" s="31" t="s">
        <v>6</v>
      </c>
      <c r="F433" s="32" t="s">
        <v>248</v>
      </c>
      <c r="G433" s="32" t="s">
        <v>249</v>
      </c>
      <c r="H433" s="32" t="s">
        <v>97</v>
      </c>
      <c r="I433" s="31" t="s">
        <v>53</v>
      </c>
      <c r="J433" s="32" t="s">
        <v>93</v>
      </c>
      <c r="K433" s="34">
        <v>5</v>
      </c>
      <c r="L433" s="33"/>
      <c r="O433" s="34">
        <v>80.5</v>
      </c>
      <c r="P433" s="34">
        <v>19</v>
      </c>
      <c r="Q433" s="34" t="s">
        <v>94</v>
      </c>
      <c r="R433" s="34"/>
      <c r="S433" s="34"/>
      <c r="T433" s="32" t="s">
        <v>156</v>
      </c>
      <c r="U433" s="34" t="s">
        <v>120</v>
      </c>
      <c r="V433" s="34">
        <v>220</v>
      </c>
      <c r="W433" s="34" t="s">
        <v>89</v>
      </c>
      <c r="X433" s="32" t="str">
        <f t="shared" si="19"/>
        <v>Printed Band Roll 80.5X19 CM</v>
      </c>
      <c r="Y433" s="33" t="s">
        <v>618</v>
      </c>
      <c r="Z433" s="32" t="str">
        <f t="shared" si="20"/>
        <v>Band Roll 80.5x19 CM Die Cutting  220 Solid Bleach Board</v>
      </c>
      <c r="AA433" s="32" t="str">
        <f t="shared" si="21"/>
        <v>Printed  Transparent Stcker 157X50 MM</v>
      </c>
      <c r="AB433" s="32" t="s">
        <v>1095</v>
      </c>
    </row>
    <row r="434" spans="2:28" x14ac:dyDescent="0.25">
      <c r="B434" s="31" t="s">
        <v>6</v>
      </c>
      <c r="D434" s="32">
        <v>2003</v>
      </c>
      <c r="E434" s="31" t="s">
        <v>6</v>
      </c>
      <c r="F434" s="32" t="s">
        <v>248</v>
      </c>
      <c r="G434" s="32" t="s">
        <v>249</v>
      </c>
      <c r="H434" s="32" t="s">
        <v>97</v>
      </c>
      <c r="I434" s="33" t="s">
        <v>102</v>
      </c>
      <c r="J434" s="32" t="s">
        <v>93</v>
      </c>
      <c r="K434" s="34">
        <v>1</v>
      </c>
      <c r="L434" s="33"/>
      <c r="O434" s="34">
        <v>10</v>
      </c>
      <c r="P434" s="34">
        <v>7.5</v>
      </c>
      <c r="Q434" s="34" t="s">
        <v>95</v>
      </c>
      <c r="R434" s="34"/>
      <c r="S434" s="34"/>
      <c r="T434" s="34" t="s">
        <v>119</v>
      </c>
      <c r="U434" s="34" t="s">
        <v>148</v>
      </c>
      <c r="V434" s="34">
        <v>80</v>
      </c>
      <c r="W434" s="34" t="s">
        <v>89</v>
      </c>
      <c r="X434" s="32" t="str">
        <f t="shared" ref="X434:X462" si="22">CONCATENATE(J434," ",I434," ",O434,"X",P434," ",Q434)</f>
        <v>Printed Sticker 10X7.5 Inch</v>
      </c>
      <c r="Y434" s="33" t="s">
        <v>619</v>
      </c>
      <c r="Z434" s="32" t="str">
        <f t="shared" si="20"/>
        <v>Sticker 10x7.5 Inch Pollar Cutting 80 Offset Sticker</v>
      </c>
      <c r="AA434" s="32" t="str">
        <f t="shared" si="21"/>
        <v>Printed  Transparent Stcker 145X100 MM</v>
      </c>
      <c r="AB434" s="32" t="s">
        <v>1096</v>
      </c>
    </row>
    <row r="435" spans="2:28" x14ac:dyDescent="0.25">
      <c r="B435" s="31" t="s">
        <v>6</v>
      </c>
      <c r="D435" s="32">
        <v>2003</v>
      </c>
      <c r="E435" s="31" t="s">
        <v>6</v>
      </c>
      <c r="F435" s="32" t="s">
        <v>248</v>
      </c>
      <c r="G435" s="32" t="s">
        <v>249</v>
      </c>
      <c r="H435" s="32" t="s">
        <v>97</v>
      </c>
      <c r="I435" s="31" t="s">
        <v>656</v>
      </c>
      <c r="J435" s="32" t="s">
        <v>93</v>
      </c>
      <c r="K435" s="34">
        <v>1</v>
      </c>
      <c r="L435" s="33"/>
      <c r="O435" s="34">
        <v>7</v>
      </c>
      <c r="Q435" s="34" t="s">
        <v>94</v>
      </c>
      <c r="R435" s="34"/>
      <c r="S435" s="34"/>
      <c r="T435" s="34" t="s">
        <v>119</v>
      </c>
      <c r="U435" s="34" t="s">
        <v>169</v>
      </c>
      <c r="V435" s="34">
        <v>80</v>
      </c>
      <c r="W435" s="34" t="s">
        <v>89</v>
      </c>
      <c r="X435" s="32" t="str">
        <f t="shared" si="22"/>
        <v>Printed Round Sticker  7X CM</v>
      </c>
      <c r="Y435" s="33" t="s">
        <v>620</v>
      </c>
      <c r="Z435" s="32" t="str">
        <f t="shared" si="20"/>
        <v>Round Sticker  7x CM Pollar Cutting 80 TRANSPERANT STICKER</v>
      </c>
      <c r="AA435" s="32" t="str">
        <f t="shared" si="21"/>
        <v>Printed  Ngrip Paper 28.7X21 CM</v>
      </c>
      <c r="AB435" s="32" t="s">
        <v>1097</v>
      </c>
    </row>
    <row r="436" spans="2:28" x14ac:dyDescent="0.25">
      <c r="B436" s="31" t="s">
        <v>6</v>
      </c>
      <c r="D436" s="32">
        <v>2003</v>
      </c>
      <c r="E436" s="31" t="s">
        <v>6</v>
      </c>
      <c r="F436" s="32" t="s">
        <v>248</v>
      </c>
      <c r="G436" s="32" t="s">
        <v>249</v>
      </c>
      <c r="H436" s="32" t="s">
        <v>97</v>
      </c>
      <c r="I436" s="35" t="s">
        <v>241</v>
      </c>
      <c r="J436" s="32" t="s">
        <v>93</v>
      </c>
      <c r="K436" s="34">
        <v>1</v>
      </c>
      <c r="L436" s="33"/>
      <c r="O436" s="34">
        <v>77</v>
      </c>
      <c r="P436" s="34">
        <v>30</v>
      </c>
      <c r="Q436" s="34" t="s">
        <v>96</v>
      </c>
      <c r="R436" s="34"/>
      <c r="S436" s="34"/>
      <c r="T436" s="34" t="s">
        <v>119</v>
      </c>
      <c r="U436" s="34" t="s">
        <v>169</v>
      </c>
      <c r="V436" s="34">
        <v>80</v>
      </c>
      <c r="W436" s="34" t="s">
        <v>89</v>
      </c>
      <c r="X436" s="32" t="str">
        <f t="shared" si="22"/>
        <v>Printed Transparent Stcker 77X30 MM</v>
      </c>
      <c r="Y436" s="33" t="s">
        <v>621</v>
      </c>
      <c r="Z436" s="32" t="str">
        <f t="shared" si="20"/>
        <v>Transparent Stcker 77x30 MM Pollar Cutting 80 TRANSPERANT STICKER</v>
      </c>
      <c r="AA436" s="32" t="str">
        <f t="shared" si="21"/>
        <v>Printed  Belly Band  40.5X9 CM</v>
      </c>
      <c r="AB436" s="32" t="s">
        <v>1098</v>
      </c>
    </row>
    <row r="437" spans="2:28" x14ac:dyDescent="0.25">
      <c r="B437" s="31" t="s">
        <v>6</v>
      </c>
      <c r="D437" s="32">
        <v>2003</v>
      </c>
      <c r="E437" s="31" t="s">
        <v>6</v>
      </c>
      <c r="F437" s="32" t="s">
        <v>248</v>
      </c>
      <c r="G437" s="32" t="s">
        <v>249</v>
      </c>
      <c r="H437" s="32" t="s">
        <v>97</v>
      </c>
      <c r="I437" s="35" t="s">
        <v>241</v>
      </c>
      <c r="J437" s="32" t="s">
        <v>93</v>
      </c>
      <c r="K437" s="34">
        <v>1</v>
      </c>
      <c r="L437" s="33"/>
      <c r="O437" s="34">
        <v>72</v>
      </c>
      <c r="P437" s="34">
        <v>30</v>
      </c>
      <c r="Q437" s="34" t="s">
        <v>96</v>
      </c>
      <c r="R437" s="34"/>
      <c r="S437" s="34"/>
      <c r="T437" s="34" t="s">
        <v>119</v>
      </c>
      <c r="U437" s="34" t="s">
        <v>169</v>
      </c>
      <c r="V437" s="34">
        <v>80</v>
      </c>
      <c r="W437" s="34" t="s">
        <v>89</v>
      </c>
      <c r="X437" s="32" t="str">
        <f t="shared" si="22"/>
        <v>Printed Transparent Stcker 72X30 MM</v>
      </c>
      <c r="Y437" s="33" t="s">
        <v>622</v>
      </c>
      <c r="Z437" s="32" t="str">
        <f t="shared" si="20"/>
        <v>Transparent Stcker 72x30 MM Pollar Cutting 80 TRANSPERANT STICKER</v>
      </c>
      <c r="AA437" s="32" t="str">
        <f t="shared" si="21"/>
        <v>Printed  Belly Band 40X15 CM</v>
      </c>
      <c r="AB437" s="32" t="s">
        <v>1099</v>
      </c>
    </row>
    <row r="438" spans="2:28" x14ac:dyDescent="0.25">
      <c r="B438" s="31" t="s">
        <v>6</v>
      </c>
      <c r="D438" s="32">
        <v>2003</v>
      </c>
      <c r="E438" s="31" t="s">
        <v>6</v>
      </c>
      <c r="F438" s="32" t="s">
        <v>248</v>
      </c>
      <c r="G438" s="32" t="s">
        <v>249</v>
      </c>
      <c r="H438" s="32" t="s">
        <v>97</v>
      </c>
      <c r="I438" s="35" t="s">
        <v>241</v>
      </c>
      <c r="J438" s="32" t="s">
        <v>93</v>
      </c>
      <c r="K438" s="34">
        <v>1</v>
      </c>
      <c r="L438" s="33"/>
      <c r="O438" s="34">
        <v>117</v>
      </c>
      <c r="P438" s="34">
        <v>30</v>
      </c>
      <c r="Q438" s="34" t="s">
        <v>96</v>
      </c>
      <c r="R438" s="34"/>
      <c r="S438" s="34"/>
      <c r="T438" s="34" t="s">
        <v>119</v>
      </c>
      <c r="U438" s="34" t="s">
        <v>169</v>
      </c>
      <c r="V438" s="34">
        <v>80</v>
      </c>
      <c r="W438" s="34" t="s">
        <v>89</v>
      </c>
      <c r="X438" s="32" t="str">
        <f t="shared" si="22"/>
        <v>Printed Transparent Stcker 117X30 MM</v>
      </c>
      <c r="Y438" s="33" t="s">
        <v>623</v>
      </c>
      <c r="Z438" s="32" t="str">
        <f t="shared" si="20"/>
        <v>Transparent Stcker 117x30 MM Pollar Cutting 80 TRANSPERANT STICKER</v>
      </c>
      <c r="AA438" s="32" t="str">
        <f t="shared" si="21"/>
        <v>Printed  Belly Band  40.5X19 CM</v>
      </c>
      <c r="AB438" s="32" t="s">
        <v>1100</v>
      </c>
    </row>
    <row r="439" spans="2:28" x14ac:dyDescent="0.25">
      <c r="B439" s="31" t="s">
        <v>6</v>
      </c>
      <c r="D439" s="32">
        <v>2003</v>
      </c>
      <c r="E439" s="31" t="s">
        <v>6</v>
      </c>
      <c r="F439" s="32" t="s">
        <v>248</v>
      </c>
      <c r="G439" s="32" t="s">
        <v>249</v>
      </c>
      <c r="H439" s="32" t="s">
        <v>97</v>
      </c>
      <c r="I439" s="35" t="s">
        <v>241</v>
      </c>
      <c r="J439" s="32" t="s">
        <v>93</v>
      </c>
      <c r="K439" s="34">
        <v>1</v>
      </c>
      <c r="L439" s="33"/>
      <c r="O439" s="34">
        <v>97</v>
      </c>
      <c r="P439" s="34">
        <v>50</v>
      </c>
      <c r="Q439" s="34" t="s">
        <v>96</v>
      </c>
      <c r="R439" s="34"/>
      <c r="S439" s="34"/>
      <c r="T439" s="34" t="s">
        <v>119</v>
      </c>
      <c r="U439" s="34" t="s">
        <v>169</v>
      </c>
      <c r="V439" s="34">
        <v>80</v>
      </c>
      <c r="W439" s="34" t="s">
        <v>89</v>
      </c>
      <c r="X439" s="32" t="str">
        <f t="shared" si="22"/>
        <v>Printed Transparent Stcker 97X50 MM</v>
      </c>
      <c r="Y439" s="33" t="s">
        <v>624</v>
      </c>
      <c r="Z439" s="32" t="str">
        <f t="shared" si="20"/>
        <v>Transparent Stcker 97x50 MM Pollar Cutting 80 TRANSPERANT STICKER</v>
      </c>
      <c r="AA439" s="32" t="str">
        <f t="shared" si="21"/>
        <v>Printed  Sticker  2X0.75 CM</v>
      </c>
      <c r="AB439" s="32" t="s">
        <v>1101</v>
      </c>
    </row>
    <row r="440" spans="2:28" x14ac:dyDescent="0.25">
      <c r="B440" s="31" t="s">
        <v>6</v>
      </c>
      <c r="D440" s="32">
        <v>2003</v>
      </c>
      <c r="E440" s="31" t="s">
        <v>6</v>
      </c>
      <c r="F440" s="32" t="s">
        <v>248</v>
      </c>
      <c r="G440" s="32" t="s">
        <v>249</v>
      </c>
      <c r="H440" s="32" t="s">
        <v>97</v>
      </c>
      <c r="I440" s="35" t="s">
        <v>241</v>
      </c>
      <c r="J440" s="32" t="s">
        <v>93</v>
      </c>
      <c r="K440" s="34">
        <v>1</v>
      </c>
      <c r="L440" s="33"/>
      <c r="O440" s="34">
        <v>107</v>
      </c>
      <c r="P440" s="34">
        <v>50</v>
      </c>
      <c r="Q440" s="34" t="s">
        <v>96</v>
      </c>
      <c r="R440" s="34"/>
      <c r="S440" s="34"/>
      <c r="T440" s="34" t="s">
        <v>119</v>
      </c>
      <c r="U440" s="34" t="s">
        <v>169</v>
      </c>
      <c r="V440" s="34">
        <v>80</v>
      </c>
      <c r="W440" s="34" t="s">
        <v>89</v>
      </c>
      <c r="X440" s="32" t="str">
        <f t="shared" si="22"/>
        <v>Printed Transparent Stcker 107X50 MM</v>
      </c>
      <c r="Y440" s="33" t="s">
        <v>625</v>
      </c>
      <c r="Z440" s="32" t="str">
        <f t="shared" si="20"/>
        <v>Transparent Stcker 107x50 MM Pollar Cutting 80 TRANSPERANT STICKER</v>
      </c>
      <c r="AA440" s="32" t="str">
        <f t="shared" si="21"/>
        <v>Printed  Shipping Mark 7.5X6.5 Inch</v>
      </c>
      <c r="AB440" s="32" t="s">
        <v>1102</v>
      </c>
    </row>
    <row r="441" spans="2:28" x14ac:dyDescent="0.25">
      <c r="B441" s="31" t="s">
        <v>6</v>
      </c>
      <c r="D441" s="32">
        <v>2003</v>
      </c>
      <c r="E441" s="31" t="s">
        <v>6</v>
      </c>
      <c r="F441" s="32" t="s">
        <v>248</v>
      </c>
      <c r="G441" s="32" t="s">
        <v>249</v>
      </c>
      <c r="H441" s="32" t="s">
        <v>97</v>
      </c>
      <c r="I441" s="35" t="s">
        <v>241</v>
      </c>
      <c r="J441" s="32" t="s">
        <v>93</v>
      </c>
      <c r="K441" s="34">
        <v>1</v>
      </c>
      <c r="L441" s="33"/>
      <c r="O441" s="34">
        <v>157</v>
      </c>
      <c r="P441" s="34">
        <v>50</v>
      </c>
      <c r="Q441" s="34" t="s">
        <v>96</v>
      </c>
      <c r="R441" s="34"/>
      <c r="S441" s="34"/>
      <c r="T441" s="34" t="s">
        <v>119</v>
      </c>
      <c r="U441" s="34" t="s">
        <v>169</v>
      </c>
      <c r="V441" s="34">
        <v>80</v>
      </c>
      <c r="W441" s="34" t="s">
        <v>89</v>
      </c>
      <c r="X441" s="32" t="str">
        <f t="shared" si="22"/>
        <v>Printed Transparent Stcker 157X50 MM</v>
      </c>
      <c r="Y441" s="33" t="s">
        <v>626</v>
      </c>
      <c r="Z441" s="32" t="str">
        <f t="shared" si="20"/>
        <v>Transparent Stcker 157x50 MM Pollar Cutting 80 TRANSPERANT STICKER</v>
      </c>
      <c r="AA441" s="32" t="str">
        <f t="shared" si="21"/>
        <v>Printed  Hang Tag 7.5X5.5 CM</v>
      </c>
      <c r="AB441" s="32" t="s">
        <v>1103</v>
      </c>
    </row>
    <row r="442" spans="2:28" x14ac:dyDescent="0.25">
      <c r="B442" s="31" t="s">
        <v>6</v>
      </c>
      <c r="D442" s="32">
        <v>2003</v>
      </c>
      <c r="E442" s="31" t="s">
        <v>6</v>
      </c>
      <c r="F442" s="32" t="s">
        <v>248</v>
      </c>
      <c r="G442" s="32" t="s">
        <v>249</v>
      </c>
      <c r="H442" s="32" t="s">
        <v>97</v>
      </c>
      <c r="I442" s="35" t="s">
        <v>241</v>
      </c>
      <c r="J442" s="32" t="s">
        <v>93</v>
      </c>
      <c r="K442" s="34">
        <v>1</v>
      </c>
      <c r="L442" s="33"/>
      <c r="O442" s="34">
        <v>145</v>
      </c>
      <c r="P442" s="34">
        <v>100</v>
      </c>
      <c r="Q442" s="34" t="s">
        <v>96</v>
      </c>
      <c r="R442" s="34"/>
      <c r="S442" s="34"/>
      <c r="T442" s="34" t="s">
        <v>119</v>
      </c>
      <c r="U442" s="34" t="s">
        <v>169</v>
      </c>
      <c r="V442" s="34">
        <v>80</v>
      </c>
      <c r="W442" s="34" t="s">
        <v>89</v>
      </c>
      <c r="X442" s="32" t="str">
        <f t="shared" si="22"/>
        <v>Printed Transparent Stcker 145X100 MM</v>
      </c>
      <c r="Y442" s="33" t="s">
        <v>627</v>
      </c>
      <c r="Z442" s="32" t="str">
        <f t="shared" si="20"/>
        <v>Transparent Stcker 145x100 MM Pollar Cutting 80 TRANSPERANT STICKER</v>
      </c>
      <c r="AA442" s="32" t="str">
        <f t="shared" si="21"/>
        <v>Printed  Hang Tag 6X8 CM</v>
      </c>
      <c r="AB442" s="32" t="s">
        <v>1104</v>
      </c>
    </row>
    <row r="443" spans="2:28" x14ac:dyDescent="0.25">
      <c r="B443" s="31" t="s">
        <v>6</v>
      </c>
      <c r="D443" s="32">
        <v>2003</v>
      </c>
      <c r="E443" s="31" t="s">
        <v>6</v>
      </c>
      <c r="F443" s="32" t="s">
        <v>248</v>
      </c>
      <c r="G443" s="32" t="s">
        <v>249</v>
      </c>
      <c r="H443" s="32" t="s">
        <v>97</v>
      </c>
      <c r="I443" s="32" t="s">
        <v>660</v>
      </c>
      <c r="J443" s="32" t="s">
        <v>93</v>
      </c>
      <c r="K443" s="34">
        <v>1</v>
      </c>
      <c r="L443" s="31"/>
      <c r="O443" s="34">
        <v>28.7</v>
      </c>
      <c r="P443" s="34">
        <v>21</v>
      </c>
      <c r="Q443" s="34" t="s">
        <v>94</v>
      </c>
      <c r="R443" s="34"/>
      <c r="S443" s="34"/>
      <c r="T443" s="34" t="s">
        <v>119</v>
      </c>
      <c r="U443" s="34" t="s">
        <v>185</v>
      </c>
      <c r="V443" s="34">
        <v>80</v>
      </c>
      <c r="W443" s="34" t="s">
        <v>89</v>
      </c>
      <c r="X443" s="32" t="str">
        <f t="shared" si="22"/>
        <v>Printed Ngrip Paper 28.7X21 CM</v>
      </c>
      <c r="Y443" s="31" t="s">
        <v>628</v>
      </c>
      <c r="Z443" s="32" t="str">
        <f t="shared" si="20"/>
        <v>Ngrip Paper 28.7x21 CM Pollar Cutting 80 Offset Paper</v>
      </c>
      <c r="AA443" s="32" t="str">
        <f t="shared" si="21"/>
        <v>Printed  Hang Tag 7.5X4 CM</v>
      </c>
      <c r="AB443" s="32" t="s">
        <v>1105</v>
      </c>
    </row>
    <row r="444" spans="2:28" x14ac:dyDescent="0.25">
      <c r="B444" s="31" t="s">
        <v>6</v>
      </c>
      <c r="D444" s="32">
        <v>2003</v>
      </c>
      <c r="E444" s="31" t="s">
        <v>6</v>
      </c>
      <c r="F444" s="32" t="s">
        <v>248</v>
      </c>
      <c r="G444" s="32" t="s">
        <v>249</v>
      </c>
      <c r="H444" s="32" t="s">
        <v>97</v>
      </c>
      <c r="I444" s="33" t="s">
        <v>175</v>
      </c>
      <c r="J444" s="32" t="s">
        <v>93</v>
      </c>
      <c r="K444" s="34">
        <v>1</v>
      </c>
      <c r="L444" s="33"/>
      <c r="O444" s="34">
        <v>40.5</v>
      </c>
      <c r="P444" s="34">
        <v>9</v>
      </c>
      <c r="Q444" s="34" t="s">
        <v>94</v>
      </c>
      <c r="R444" s="34" t="s">
        <v>166</v>
      </c>
      <c r="S444" s="34"/>
      <c r="T444" s="34" t="s">
        <v>119</v>
      </c>
      <c r="U444" s="34" t="s">
        <v>237</v>
      </c>
      <c r="V444" s="34">
        <v>300</v>
      </c>
      <c r="W444" s="34" t="s">
        <v>89</v>
      </c>
      <c r="X444" s="32" t="str">
        <f t="shared" si="22"/>
        <v>Printed Belly Band  40.5X9 CM</v>
      </c>
      <c r="Y444" s="33" t="s">
        <v>629</v>
      </c>
      <c r="Z444" s="32" t="str">
        <f t="shared" si="20"/>
        <v>Belly Band  40.5x9 CM Pollar Cutting 300 Art Card</v>
      </c>
      <c r="AA444" s="32" t="str">
        <f t="shared" si="21"/>
        <v>Printed Matt Hang Tag 8X4 CM</v>
      </c>
      <c r="AB444" s="32" t="s">
        <v>690</v>
      </c>
    </row>
    <row r="445" spans="2:28" x14ac:dyDescent="0.25">
      <c r="B445" s="31" t="s">
        <v>6</v>
      </c>
      <c r="D445" s="32">
        <v>2003</v>
      </c>
      <c r="E445" s="31" t="s">
        <v>6</v>
      </c>
      <c r="F445" s="32" t="s">
        <v>248</v>
      </c>
      <c r="G445" s="32" t="s">
        <v>249</v>
      </c>
      <c r="H445" s="32" t="s">
        <v>97</v>
      </c>
      <c r="I445" s="33" t="s">
        <v>172</v>
      </c>
      <c r="J445" s="32" t="s">
        <v>93</v>
      </c>
      <c r="K445" s="34">
        <v>1</v>
      </c>
      <c r="L445" s="33"/>
      <c r="O445" s="34">
        <v>40</v>
      </c>
      <c r="P445" s="34">
        <v>15</v>
      </c>
      <c r="Q445" s="34" t="s">
        <v>94</v>
      </c>
      <c r="R445" s="34" t="s">
        <v>166</v>
      </c>
      <c r="S445" s="34"/>
      <c r="T445" s="34" t="s">
        <v>119</v>
      </c>
      <c r="U445" s="34" t="s">
        <v>237</v>
      </c>
      <c r="V445" s="34">
        <v>300</v>
      </c>
      <c r="W445" s="34" t="s">
        <v>89</v>
      </c>
      <c r="X445" s="32" t="str">
        <f t="shared" si="22"/>
        <v>Printed Belly Band 40X15 CM</v>
      </c>
      <c r="Y445" s="33" t="s">
        <v>630</v>
      </c>
      <c r="Z445" s="32" t="str">
        <f t="shared" si="20"/>
        <v>Belly Band 40x15 CM Pollar Cutting 300 Art Card</v>
      </c>
      <c r="AA445" s="32" t="str">
        <f t="shared" si="21"/>
        <v>Printed Matt Hang Tag 4X4 CM</v>
      </c>
      <c r="AB445" s="32" t="s">
        <v>691</v>
      </c>
    </row>
    <row r="446" spans="2:28" x14ac:dyDescent="0.25">
      <c r="B446" s="31" t="s">
        <v>6</v>
      </c>
      <c r="D446" s="32">
        <v>2003</v>
      </c>
      <c r="E446" s="31" t="s">
        <v>6</v>
      </c>
      <c r="F446" s="32" t="s">
        <v>248</v>
      </c>
      <c r="G446" s="32" t="s">
        <v>249</v>
      </c>
      <c r="H446" s="32" t="s">
        <v>97</v>
      </c>
      <c r="I446" s="33" t="s">
        <v>175</v>
      </c>
      <c r="J446" s="32" t="s">
        <v>93</v>
      </c>
      <c r="K446" s="34">
        <v>1</v>
      </c>
      <c r="L446" s="33"/>
      <c r="O446" s="34">
        <v>40.5</v>
      </c>
      <c r="P446" s="34">
        <v>19</v>
      </c>
      <c r="Q446" s="34" t="s">
        <v>94</v>
      </c>
      <c r="R446" s="34" t="s">
        <v>166</v>
      </c>
      <c r="S446" s="34"/>
      <c r="T446" s="34" t="s">
        <v>119</v>
      </c>
      <c r="U446" s="34" t="s">
        <v>237</v>
      </c>
      <c r="V446" s="34">
        <v>300</v>
      </c>
      <c r="W446" s="34" t="s">
        <v>89</v>
      </c>
      <c r="X446" s="32" t="str">
        <f t="shared" si="22"/>
        <v>Printed Belly Band  40.5X19 CM</v>
      </c>
      <c r="Y446" s="33" t="s">
        <v>631</v>
      </c>
      <c r="Z446" s="32" t="str">
        <f t="shared" si="20"/>
        <v>Belly Band  40.5x19 CM Pollar Cutting 300 Art Card</v>
      </c>
      <c r="AA446" s="32" t="str">
        <f t="shared" si="21"/>
        <v>Printed Matt Hang Tag 16.5X7 CM</v>
      </c>
      <c r="AB446" s="32" t="s">
        <v>692</v>
      </c>
    </row>
    <row r="447" spans="2:28" x14ac:dyDescent="0.25">
      <c r="B447" s="31" t="s">
        <v>6</v>
      </c>
      <c r="D447" s="32">
        <v>2003</v>
      </c>
      <c r="E447" s="31" t="s">
        <v>6</v>
      </c>
      <c r="F447" s="32" t="s">
        <v>248</v>
      </c>
      <c r="G447" s="32" t="s">
        <v>249</v>
      </c>
      <c r="H447" s="32" t="s">
        <v>97</v>
      </c>
      <c r="I447" s="31" t="s">
        <v>648</v>
      </c>
      <c r="J447" s="32" t="s">
        <v>93</v>
      </c>
      <c r="K447" s="34">
        <v>1</v>
      </c>
      <c r="L447" s="33"/>
      <c r="O447" s="34">
        <v>2</v>
      </c>
      <c r="P447" s="34">
        <v>0.75</v>
      </c>
      <c r="Q447" s="34" t="s">
        <v>94</v>
      </c>
      <c r="R447" s="34"/>
      <c r="S447" s="34"/>
      <c r="T447" s="34" t="s">
        <v>119</v>
      </c>
      <c r="U447" s="34" t="s">
        <v>347</v>
      </c>
      <c r="V447" s="34">
        <v>80</v>
      </c>
      <c r="W447" s="34" t="s">
        <v>89</v>
      </c>
      <c r="X447" s="32" t="str">
        <f t="shared" si="22"/>
        <v>Printed Sticker  2X0.75 CM</v>
      </c>
      <c r="Y447" s="33" t="s">
        <v>632</v>
      </c>
      <c r="Z447" s="32" t="str">
        <f t="shared" si="20"/>
        <v>Sticker  2x0.75 CM Pollar Cutting 80 Plain Sticker</v>
      </c>
      <c r="AA447" s="32" t="str">
        <f t="shared" si="21"/>
        <v>Printed  Hang Tag 14X7 CM</v>
      </c>
      <c r="AB447" s="32" t="s">
        <v>1106</v>
      </c>
    </row>
    <row r="448" spans="2:28" x14ac:dyDescent="0.25">
      <c r="B448" s="31" t="s">
        <v>6</v>
      </c>
      <c r="D448" s="32">
        <v>2003</v>
      </c>
      <c r="E448" s="31" t="s">
        <v>6</v>
      </c>
      <c r="F448" s="32" t="s">
        <v>248</v>
      </c>
      <c r="G448" s="32" t="s">
        <v>249</v>
      </c>
      <c r="H448" s="32" t="s">
        <v>97</v>
      </c>
      <c r="I448" s="31" t="s">
        <v>651</v>
      </c>
      <c r="J448" s="32" t="s">
        <v>93</v>
      </c>
      <c r="K448" s="34">
        <v>1</v>
      </c>
      <c r="L448" s="33"/>
      <c r="O448" s="34">
        <v>7.5</v>
      </c>
      <c r="P448" s="34">
        <v>6.5</v>
      </c>
      <c r="Q448" s="34" t="s">
        <v>95</v>
      </c>
      <c r="R448" s="34"/>
      <c r="S448" s="34"/>
      <c r="T448" s="34" t="s">
        <v>119</v>
      </c>
      <c r="U448" s="34" t="s">
        <v>347</v>
      </c>
      <c r="V448" s="34">
        <v>80</v>
      </c>
      <c r="W448" s="34" t="s">
        <v>89</v>
      </c>
      <c r="X448" s="32" t="str">
        <f t="shared" si="22"/>
        <v>Printed Shipping Mark 7.5X6.5 Inch</v>
      </c>
      <c r="Y448" s="33" t="s">
        <v>633</v>
      </c>
      <c r="Z448" s="32" t="str">
        <f t="shared" si="20"/>
        <v>Shipping Mark 7.5x6.5 Inch Pollar Cutting 80 Plain Sticker</v>
      </c>
      <c r="AA448" s="32" t="str">
        <f t="shared" si="21"/>
        <v>Printed  Hang Tag 9X7 CM</v>
      </c>
      <c r="AB448" s="32" t="s">
        <v>1107</v>
      </c>
    </row>
    <row r="449" spans="2:28" x14ac:dyDescent="0.25">
      <c r="B449" s="31" t="s">
        <v>6</v>
      </c>
      <c r="D449" s="32">
        <v>2003</v>
      </c>
      <c r="E449" s="31" t="s">
        <v>6</v>
      </c>
      <c r="F449" s="32" t="s">
        <v>248</v>
      </c>
      <c r="G449" s="32" t="s">
        <v>249</v>
      </c>
      <c r="H449" s="32" t="s">
        <v>97</v>
      </c>
      <c r="I449" s="31" t="s">
        <v>155</v>
      </c>
      <c r="J449" s="32" t="s">
        <v>93</v>
      </c>
      <c r="K449" s="34">
        <v>1</v>
      </c>
      <c r="L449" s="31"/>
      <c r="O449" s="34">
        <v>7.5</v>
      </c>
      <c r="P449" s="34">
        <v>5.5</v>
      </c>
      <c r="Q449" s="34" t="s">
        <v>94</v>
      </c>
      <c r="R449" s="34"/>
      <c r="S449" s="34"/>
      <c r="T449" s="32" t="s">
        <v>156</v>
      </c>
      <c r="U449" s="34" t="s">
        <v>237</v>
      </c>
      <c r="V449" s="34">
        <v>300</v>
      </c>
      <c r="W449" s="34" t="s">
        <v>89</v>
      </c>
      <c r="X449" s="32" t="str">
        <f t="shared" si="22"/>
        <v>Printed Hang Tag 7.5X5.5 CM</v>
      </c>
      <c r="Y449" s="31" t="s">
        <v>634</v>
      </c>
      <c r="Z449" s="32" t="str">
        <f t="shared" si="20"/>
        <v>Hang Tag 7.5x5.5 CM Die Cutting  300 Art Card</v>
      </c>
      <c r="AA449" s="32" t="str">
        <f t="shared" si="21"/>
        <v>Printed  Hang Tag 8X6 CM</v>
      </c>
      <c r="AB449" s="32" t="s">
        <v>1108</v>
      </c>
    </row>
    <row r="450" spans="2:28" x14ac:dyDescent="0.25">
      <c r="B450" s="31" t="s">
        <v>6</v>
      </c>
      <c r="D450" s="32">
        <v>2003</v>
      </c>
      <c r="E450" s="31" t="s">
        <v>6</v>
      </c>
      <c r="F450" s="32" t="s">
        <v>248</v>
      </c>
      <c r="G450" s="32" t="s">
        <v>249</v>
      </c>
      <c r="H450" s="32" t="s">
        <v>97</v>
      </c>
      <c r="I450" s="31" t="s">
        <v>155</v>
      </c>
      <c r="J450" s="32" t="s">
        <v>93</v>
      </c>
      <c r="K450" s="34">
        <v>1</v>
      </c>
      <c r="L450" s="33"/>
      <c r="O450" s="34">
        <v>6</v>
      </c>
      <c r="P450" s="34">
        <v>8</v>
      </c>
      <c r="Q450" s="34" t="s">
        <v>94</v>
      </c>
      <c r="R450" s="34"/>
      <c r="S450" s="34"/>
      <c r="T450" s="34" t="s">
        <v>119</v>
      </c>
      <c r="U450" s="34" t="s">
        <v>128</v>
      </c>
      <c r="V450" s="34">
        <v>80</v>
      </c>
      <c r="W450" s="34" t="s">
        <v>89</v>
      </c>
      <c r="X450" s="32" t="str">
        <f t="shared" si="22"/>
        <v>Printed Hang Tag 6X8 CM</v>
      </c>
      <c r="Y450" s="33" t="s">
        <v>635</v>
      </c>
      <c r="Z450" s="32" t="str">
        <f t="shared" si="20"/>
        <v>Hang Tag 6x8 CM Pollar Cutting 80 Glossy Sticker</v>
      </c>
      <c r="AA450" s="32" t="str">
        <f t="shared" si="21"/>
        <v>Printed  Hang Tag 7.3X5.5 CM</v>
      </c>
      <c r="AB450" s="32" t="s">
        <v>1109</v>
      </c>
    </row>
    <row r="451" spans="2:28" x14ac:dyDescent="0.25">
      <c r="B451" s="31" t="s">
        <v>6</v>
      </c>
      <c r="D451" s="32">
        <v>2003</v>
      </c>
      <c r="E451" s="31" t="s">
        <v>6</v>
      </c>
      <c r="F451" s="32" t="s">
        <v>248</v>
      </c>
      <c r="G451" s="32" t="s">
        <v>249</v>
      </c>
      <c r="H451" s="32" t="s">
        <v>97</v>
      </c>
      <c r="I451" s="31" t="s">
        <v>155</v>
      </c>
      <c r="J451" s="32" t="s">
        <v>93</v>
      </c>
      <c r="K451" s="34">
        <v>2</v>
      </c>
      <c r="L451" s="33"/>
      <c r="O451" s="34">
        <v>7.5</v>
      </c>
      <c r="P451" s="34">
        <v>4</v>
      </c>
      <c r="Q451" s="34" t="s">
        <v>94</v>
      </c>
      <c r="R451" s="34"/>
      <c r="S451" s="34"/>
      <c r="T451" s="34" t="s">
        <v>119</v>
      </c>
      <c r="U451" s="34" t="s">
        <v>347</v>
      </c>
      <c r="V451" s="34">
        <v>80</v>
      </c>
      <c r="W451" s="34" t="s">
        <v>89</v>
      </c>
      <c r="X451" s="32" t="str">
        <f t="shared" si="22"/>
        <v>Printed Hang Tag 7.5X4 CM</v>
      </c>
      <c r="Y451" s="33" t="s">
        <v>636</v>
      </c>
      <c r="Z451" s="32" t="str">
        <f t="shared" ref="Z451:Z462" si="23">CONCATENATE(I451," ",O451,"x",P451," ",Q451," ",T451," ",V451," ",U451)</f>
        <v>Hang Tag 7.5x4 CM Pollar Cutting 80 Plain Sticker</v>
      </c>
      <c r="AA451" s="32" t="str">
        <f t="shared" ref="AA451:AA462" si="24">CONCATENATE(J459," ",R451," ",I459," ",O459,"X",P459," ",Q459)</f>
        <v>Printed  Hang Tag 5X4 CM</v>
      </c>
      <c r="AB451" s="32" t="s">
        <v>1110</v>
      </c>
    </row>
    <row r="452" spans="2:28" x14ac:dyDescent="0.25">
      <c r="B452" s="31" t="s">
        <v>6</v>
      </c>
      <c r="D452" s="32">
        <v>2003</v>
      </c>
      <c r="E452" s="31" t="s">
        <v>6</v>
      </c>
      <c r="F452" s="32" t="s">
        <v>248</v>
      </c>
      <c r="G452" s="32" t="s">
        <v>249</v>
      </c>
      <c r="H452" s="32" t="s">
        <v>97</v>
      </c>
      <c r="I452" s="31" t="s">
        <v>155</v>
      </c>
      <c r="J452" s="32" t="s">
        <v>93</v>
      </c>
      <c r="K452" s="34">
        <v>4</v>
      </c>
      <c r="L452" s="33"/>
      <c r="O452" s="34">
        <v>8</v>
      </c>
      <c r="P452" s="34">
        <v>4</v>
      </c>
      <c r="Q452" s="34" t="s">
        <v>94</v>
      </c>
      <c r="R452" s="34" t="s">
        <v>213</v>
      </c>
      <c r="S452" s="34"/>
      <c r="T452" s="34" t="s">
        <v>119</v>
      </c>
      <c r="U452" s="34" t="s">
        <v>237</v>
      </c>
      <c r="V452" s="34">
        <v>300</v>
      </c>
      <c r="W452" s="34" t="s">
        <v>89</v>
      </c>
      <c r="X452" s="32" t="str">
        <f t="shared" si="22"/>
        <v>Printed Hang Tag 8X4 CM</v>
      </c>
      <c r="Y452" s="33" t="s">
        <v>637</v>
      </c>
      <c r="Z452" s="32" t="str">
        <f t="shared" si="23"/>
        <v>Hang Tag 8x4 CM Pollar Cutting 300 Art Card</v>
      </c>
      <c r="AA452" s="32" t="str">
        <f t="shared" si="24"/>
        <v>Printed Glossy Hang Tag 7.5X5 CM</v>
      </c>
      <c r="AB452" s="32" t="s">
        <v>693</v>
      </c>
    </row>
    <row r="453" spans="2:28" x14ac:dyDescent="0.25">
      <c r="B453" s="31" t="s">
        <v>6</v>
      </c>
      <c r="D453" s="32">
        <v>2003</v>
      </c>
      <c r="E453" s="31" t="s">
        <v>6</v>
      </c>
      <c r="F453" s="32" t="s">
        <v>248</v>
      </c>
      <c r="G453" s="32" t="s">
        <v>249</v>
      </c>
      <c r="H453" s="32" t="s">
        <v>97</v>
      </c>
      <c r="I453" s="31" t="s">
        <v>155</v>
      </c>
      <c r="J453" s="32" t="s">
        <v>93</v>
      </c>
      <c r="K453" s="34">
        <v>3</v>
      </c>
      <c r="L453" s="33"/>
      <c r="O453" s="34">
        <v>4</v>
      </c>
      <c r="P453" s="34">
        <v>4</v>
      </c>
      <c r="Q453" s="34" t="s">
        <v>94</v>
      </c>
      <c r="R453" s="34"/>
      <c r="S453" s="34"/>
      <c r="T453" s="32" t="s">
        <v>156</v>
      </c>
      <c r="U453" s="34" t="s">
        <v>141</v>
      </c>
      <c r="V453" s="34">
        <v>300</v>
      </c>
      <c r="W453" s="34" t="s">
        <v>89</v>
      </c>
      <c r="X453" s="32" t="str">
        <f t="shared" si="22"/>
        <v>Printed Hang Tag 4X4 CM</v>
      </c>
      <c r="Y453" s="31" t="s">
        <v>638</v>
      </c>
      <c r="Z453" s="32" t="str">
        <f t="shared" si="23"/>
        <v>Hang Tag 4x4 CM Die Cutting  300 Solid Card</v>
      </c>
      <c r="AA453" s="32" t="str">
        <f t="shared" si="24"/>
        <v>Printed  Hang Tag 7X3 CM</v>
      </c>
      <c r="AB453" s="32" t="s">
        <v>1111</v>
      </c>
    </row>
    <row r="454" spans="2:28" x14ac:dyDescent="0.25">
      <c r="B454" s="31" t="s">
        <v>6</v>
      </c>
      <c r="D454" s="32">
        <v>2003</v>
      </c>
      <c r="E454" s="31" t="s">
        <v>6</v>
      </c>
      <c r="F454" s="32" t="s">
        <v>248</v>
      </c>
      <c r="G454" s="32" t="s">
        <v>249</v>
      </c>
      <c r="H454" s="32" t="s">
        <v>97</v>
      </c>
      <c r="I454" s="31" t="s">
        <v>155</v>
      </c>
      <c r="J454" s="32" t="s">
        <v>93</v>
      </c>
      <c r="K454" s="34">
        <v>4</v>
      </c>
      <c r="L454" s="33"/>
      <c r="O454" s="34">
        <v>16.5</v>
      </c>
      <c r="P454" s="34">
        <v>7</v>
      </c>
      <c r="Q454" s="34" t="s">
        <v>94</v>
      </c>
      <c r="R454" s="34" t="s">
        <v>213</v>
      </c>
      <c r="S454" s="34"/>
      <c r="T454" s="32" t="s">
        <v>156</v>
      </c>
      <c r="U454" s="34" t="s">
        <v>237</v>
      </c>
      <c r="V454" s="34">
        <v>300</v>
      </c>
      <c r="W454" s="34" t="s">
        <v>89</v>
      </c>
      <c r="X454" s="32" t="str">
        <f t="shared" si="22"/>
        <v>Printed Hang Tag 16.5X7 CM</v>
      </c>
      <c r="Y454" s="33" t="s">
        <v>639</v>
      </c>
      <c r="Z454" s="32" t="str">
        <f t="shared" si="23"/>
        <v>Hang Tag 16.5x7 CM Die Cutting  300 Art Card</v>
      </c>
      <c r="AA454" s="32" t="str">
        <f t="shared" si="24"/>
        <v>Printed Glossy Hang Tag 10.5X4.5 CM</v>
      </c>
      <c r="AB454" s="32" t="s">
        <v>694</v>
      </c>
    </row>
    <row r="455" spans="2:28" x14ac:dyDescent="0.25">
      <c r="B455" s="31" t="s">
        <v>6</v>
      </c>
      <c r="D455" s="32">
        <v>2003</v>
      </c>
      <c r="E455" s="31" t="s">
        <v>6</v>
      </c>
      <c r="F455" s="32" t="s">
        <v>248</v>
      </c>
      <c r="G455" s="32" t="s">
        <v>249</v>
      </c>
      <c r="H455" s="32" t="s">
        <v>97</v>
      </c>
      <c r="I455" s="31" t="s">
        <v>155</v>
      </c>
      <c r="J455" s="32" t="s">
        <v>93</v>
      </c>
      <c r="K455" s="34">
        <v>4</v>
      </c>
      <c r="L455" s="33"/>
      <c r="O455" s="34">
        <v>14</v>
      </c>
      <c r="P455" s="34">
        <v>7</v>
      </c>
      <c r="Q455" s="34" t="s">
        <v>94</v>
      </c>
      <c r="R455" s="34" t="s">
        <v>213</v>
      </c>
      <c r="S455" s="34"/>
      <c r="T455" s="32" t="s">
        <v>156</v>
      </c>
      <c r="U455" s="34" t="s">
        <v>237</v>
      </c>
      <c r="V455" s="34">
        <v>300</v>
      </c>
      <c r="W455" s="34" t="s">
        <v>89</v>
      </c>
      <c r="X455" s="32" t="str">
        <f t="shared" si="22"/>
        <v>Printed Hang Tag 14X7 CM</v>
      </c>
      <c r="Y455" s="33" t="s">
        <v>640</v>
      </c>
      <c r="Z455" s="32" t="str">
        <f t="shared" si="23"/>
        <v>Hang Tag 14x7 CM Die Cutting  300 Art Card</v>
      </c>
      <c r="AA455" s="32" t="str">
        <f t="shared" si="24"/>
        <v xml:space="preserve"> Glossy  X </v>
      </c>
      <c r="AB455" s="32" t="s">
        <v>1112</v>
      </c>
    </row>
    <row r="456" spans="2:28" x14ac:dyDescent="0.25">
      <c r="B456" s="31" t="s">
        <v>6</v>
      </c>
      <c r="D456" s="32">
        <v>2003</v>
      </c>
      <c r="E456" s="31" t="s">
        <v>6</v>
      </c>
      <c r="F456" s="32" t="s">
        <v>248</v>
      </c>
      <c r="G456" s="32" t="s">
        <v>249</v>
      </c>
      <c r="H456" s="32" t="s">
        <v>97</v>
      </c>
      <c r="I456" s="31" t="s">
        <v>155</v>
      </c>
      <c r="J456" s="32" t="s">
        <v>93</v>
      </c>
      <c r="K456" s="34">
        <v>7</v>
      </c>
      <c r="L456" s="33"/>
      <c r="O456" s="34">
        <v>9</v>
      </c>
      <c r="P456" s="34">
        <v>7</v>
      </c>
      <c r="Q456" s="34" t="s">
        <v>94</v>
      </c>
      <c r="R456" s="34"/>
      <c r="S456" s="34"/>
      <c r="T456" s="34" t="s">
        <v>119</v>
      </c>
      <c r="U456" s="34" t="s">
        <v>237</v>
      </c>
      <c r="V456" s="34">
        <v>300</v>
      </c>
      <c r="W456" s="34" t="s">
        <v>89</v>
      </c>
      <c r="X456" s="32" t="str">
        <f t="shared" si="22"/>
        <v>Printed Hang Tag 9X7 CM</v>
      </c>
      <c r="Y456" s="33" t="s">
        <v>641</v>
      </c>
      <c r="Z456" s="32" t="str">
        <f t="shared" si="23"/>
        <v>Hang Tag 9x7 CM Pollar Cutting 300 Art Card</v>
      </c>
      <c r="AA456" s="32" t="str">
        <f t="shared" si="24"/>
        <v xml:space="preserve">   X </v>
      </c>
      <c r="AB456" s="32" t="s">
        <v>1113</v>
      </c>
    </row>
    <row r="457" spans="2:28" x14ac:dyDescent="0.25">
      <c r="B457" s="31" t="s">
        <v>6</v>
      </c>
      <c r="D457" s="32">
        <v>2003</v>
      </c>
      <c r="E457" s="31" t="s">
        <v>6</v>
      </c>
      <c r="F457" s="32" t="s">
        <v>248</v>
      </c>
      <c r="G457" s="32" t="s">
        <v>249</v>
      </c>
      <c r="H457" s="32" t="s">
        <v>97</v>
      </c>
      <c r="I457" s="31" t="s">
        <v>155</v>
      </c>
      <c r="J457" s="32" t="s">
        <v>93</v>
      </c>
      <c r="K457" s="34">
        <v>2</v>
      </c>
      <c r="L457" s="33"/>
      <c r="O457" s="34">
        <v>8</v>
      </c>
      <c r="P457" s="34">
        <v>6</v>
      </c>
      <c r="Q457" s="34" t="s">
        <v>94</v>
      </c>
      <c r="R457" s="34"/>
      <c r="S457" s="34"/>
      <c r="T457" s="34" t="s">
        <v>119</v>
      </c>
      <c r="U457" s="34" t="s">
        <v>349</v>
      </c>
      <c r="V457" s="34">
        <v>270</v>
      </c>
      <c r="W457" s="34" t="s">
        <v>89</v>
      </c>
      <c r="X457" s="32" t="str">
        <f t="shared" si="22"/>
        <v>Printed Hang Tag 8X6 CM</v>
      </c>
      <c r="Y457" s="33" t="s">
        <v>642</v>
      </c>
      <c r="Z457" s="32" t="str">
        <f t="shared" si="23"/>
        <v>Hang Tag 8x6 CM Pollar Cutting 270 Craft paper</v>
      </c>
      <c r="AA457" s="32" t="str">
        <f t="shared" si="24"/>
        <v xml:space="preserve">   X </v>
      </c>
      <c r="AB457" s="32" t="s">
        <v>1113</v>
      </c>
    </row>
    <row r="458" spans="2:28" x14ac:dyDescent="0.25">
      <c r="B458" s="31" t="s">
        <v>6</v>
      </c>
      <c r="D458" s="32">
        <v>2003</v>
      </c>
      <c r="E458" s="31" t="s">
        <v>6</v>
      </c>
      <c r="F458" s="32" t="s">
        <v>248</v>
      </c>
      <c r="G458" s="32" t="s">
        <v>249</v>
      </c>
      <c r="H458" s="32" t="s">
        <v>97</v>
      </c>
      <c r="I458" s="31" t="s">
        <v>155</v>
      </c>
      <c r="J458" s="32" t="s">
        <v>93</v>
      </c>
      <c r="K458" s="34">
        <v>1</v>
      </c>
      <c r="L458" s="33"/>
      <c r="O458" s="34">
        <v>7.3</v>
      </c>
      <c r="P458" s="34">
        <v>5.5</v>
      </c>
      <c r="Q458" s="34" t="s">
        <v>94</v>
      </c>
      <c r="R458" s="34"/>
      <c r="S458" s="34"/>
      <c r="T458" s="32" t="s">
        <v>156</v>
      </c>
      <c r="U458" s="34" t="s">
        <v>237</v>
      </c>
      <c r="V458" s="34">
        <v>300</v>
      </c>
      <c r="W458" s="34" t="s">
        <v>89</v>
      </c>
      <c r="X458" s="32" t="str">
        <f t="shared" si="22"/>
        <v>Printed Hang Tag 7.3X5.5 CM</v>
      </c>
      <c r="Y458" s="33" t="s">
        <v>643</v>
      </c>
      <c r="Z458" s="32" t="str">
        <f t="shared" si="23"/>
        <v>Hang Tag 7.3x5.5 CM Die Cutting  300 Art Card</v>
      </c>
      <c r="AA458" s="32" t="str">
        <f t="shared" si="24"/>
        <v xml:space="preserve">   X </v>
      </c>
      <c r="AB458" s="32" t="s">
        <v>1113</v>
      </c>
    </row>
    <row r="459" spans="2:28" x14ac:dyDescent="0.25">
      <c r="B459" s="31" t="s">
        <v>6</v>
      </c>
      <c r="D459" s="32">
        <v>2003</v>
      </c>
      <c r="E459" s="31" t="s">
        <v>6</v>
      </c>
      <c r="F459" s="32" t="s">
        <v>248</v>
      </c>
      <c r="G459" s="32" t="s">
        <v>249</v>
      </c>
      <c r="H459" s="32" t="s">
        <v>97</v>
      </c>
      <c r="I459" s="31" t="s">
        <v>155</v>
      </c>
      <c r="J459" s="32" t="s">
        <v>93</v>
      </c>
      <c r="K459" s="34">
        <v>3</v>
      </c>
      <c r="L459" s="33"/>
      <c r="O459" s="34">
        <v>5</v>
      </c>
      <c r="P459" s="34">
        <v>4</v>
      </c>
      <c r="Q459" s="34" t="s">
        <v>94</v>
      </c>
      <c r="R459" s="34"/>
      <c r="S459" s="34"/>
      <c r="T459" s="32" t="s">
        <v>156</v>
      </c>
      <c r="U459" s="34" t="s">
        <v>237</v>
      </c>
      <c r="V459" s="34">
        <v>300</v>
      </c>
      <c r="W459" s="34" t="s">
        <v>89</v>
      </c>
      <c r="X459" s="32" t="str">
        <f t="shared" si="22"/>
        <v>Printed Hang Tag 5X4 CM</v>
      </c>
      <c r="Y459" s="33" t="s">
        <v>644</v>
      </c>
      <c r="Z459" s="32" t="str">
        <f t="shared" si="23"/>
        <v>Hang Tag 5x4 CM Die Cutting  300 Art Card</v>
      </c>
      <c r="AA459" s="32" t="str">
        <f t="shared" si="24"/>
        <v xml:space="preserve">   X </v>
      </c>
      <c r="AB459" s="32" t="s">
        <v>1113</v>
      </c>
    </row>
    <row r="460" spans="2:28" x14ac:dyDescent="0.25">
      <c r="B460" s="31" t="s">
        <v>6</v>
      </c>
      <c r="D460" s="32">
        <v>2003</v>
      </c>
      <c r="E460" s="31" t="s">
        <v>6</v>
      </c>
      <c r="F460" s="32" t="s">
        <v>248</v>
      </c>
      <c r="G460" s="32" t="s">
        <v>249</v>
      </c>
      <c r="H460" s="32" t="s">
        <v>97</v>
      </c>
      <c r="I460" s="31" t="s">
        <v>155</v>
      </c>
      <c r="J460" s="32" t="s">
        <v>93</v>
      </c>
      <c r="K460" s="34">
        <v>2</v>
      </c>
      <c r="L460" s="33"/>
      <c r="O460" s="34">
        <v>7.5</v>
      </c>
      <c r="P460" s="34">
        <v>5</v>
      </c>
      <c r="Q460" s="34" t="s">
        <v>94</v>
      </c>
      <c r="R460" s="34"/>
      <c r="S460" s="34"/>
      <c r="T460" s="32" t="s">
        <v>156</v>
      </c>
      <c r="U460" s="34" t="s">
        <v>141</v>
      </c>
      <c r="V460" s="34">
        <v>250</v>
      </c>
      <c r="W460" s="34" t="s">
        <v>89</v>
      </c>
      <c r="X460" s="32" t="str">
        <f t="shared" si="22"/>
        <v>Printed Hang Tag 7.5X5 CM</v>
      </c>
      <c r="Y460" s="33" t="s">
        <v>645</v>
      </c>
      <c r="Z460" s="32" t="str">
        <f t="shared" si="23"/>
        <v>Hang Tag 7.5x5 CM Die Cutting  250 Solid Card</v>
      </c>
      <c r="AA460" s="32" t="str">
        <f t="shared" si="24"/>
        <v xml:space="preserve">   X </v>
      </c>
      <c r="AB460" s="32" t="s">
        <v>1113</v>
      </c>
    </row>
    <row r="461" spans="2:28" x14ac:dyDescent="0.25">
      <c r="B461" s="31" t="s">
        <v>6</v>
      </c>
      <c r="D461" s="32">
        <v>2003</v>
      </c>
      <c r="E461" s="31" t="s">
        <v>6</v>
      </c>
      <c r="F461" s="32" t="s">
        <v>248</v>
      </c>
      <c r="G461" s="32" t="s">
        <v>249</v>
      </c>
      <c r="H461" s="32" t="s">
        <v>97</v>
      </c>
      <c r="I461" s="31" t="s">
        <v>155</v>
      </c>
      <c r="J461" s="32" t="s">
        <v>93</v>
      </c>
      <c r="K461" s="34">
        <v>2</v>
      </c>
      <c r="L461" s="33"/>
      <c r="O461" s="34">
        <v>7</v>
      </c>
      <c r="P461" s="34">
        <v>3</v>
      </c>
      <c r="Q461" s="34" t="s">
        <v>94</v>
      </c>
      <c r="R461" s="34"/>
      <c r="S461" s="34"/>
      <c r="T461" s="34" t="s">
        <v>119</v>
      </c>
      <c r="U461" s="32" t="s">
        <v>110</v>
      </c>
      <c r="V461" s="34">
        <v>300</v>
      </c>
      <c r="W461" s="34" t="s">
        <v>89</v>
      </c>
      <c r="X461" s="32" t="str">
        <f t="shared" si="22"/>
        <v>Printed Hang Tag 7X3 CM</v>
      </c>
      <c r="Y461" s="33" t="s">
        <v>646</v>
      </c>
      <c r="Z461" s="32" t="str">
        <f t="shared" si="23"/>
        <v>Hang Tag 7x3 CM Pollar Cutting 300 Swedish Board</v>
      </c>
      <c r="AA461" s="32" t="str">
        <f t="shared" si="24"/>
        <v xml:space="preserve">   X </v>
      </c>
      <c r="AB461" s="32" t="s">
        <v>1113</v>
      </c>
    </row>
    <row r="462" spans="2:28" x14ac:dyDescent="0.25">
      <c r="B462" s="31" t="s">
        <v>6</v>
      </c>
      <c r="D462" s="32">
        <v>2003</v>
      </c>
      <c r="E462" s="31" t="s">
        <v>6</v>
      </c>
      <c r="F462" s="32" t="s">
        <v>248</v>
      </c>
      <c r="G462" s="32" t="s">
        <v>249</v>
      </c>
      <c r="H462" s="32" t="s">
        <v>97</v>
      </c>
      <c r="I462" s="31" t="s">
        <v>155</v>
      </c>
      <c r="J462" s="32" t="s">
        <v>93</v>
      </c>
      <c r="K462" s="34">
        <v>2</v>
      </c>
      <c r="L462" s="33"/>
      <c r="O462" s="34">
        <v>10.5</v>
      </c>
      <c r="P462" s="34">
        <v>4.5</v>
      </c>
      <c r="Q462" s="34" t="s">
        <v>94</v>
      </c>
      <c r="R462" s="34"/>
      <c r="S462" s="34"/>
      <c r="T462" s="32" t="s">
        <v>156</v>
      </c>
      <c r="U462" s="34" t="s">
        <v>157</v>
      </c>
      <c r="V462" s="34">
        <v>160</v>
      </c>
      <c r="W462" s="34" t="s">
        <v>89</v>
      </c>
      <c r="X462" s="32" t="str">
        <f t="shared" si="22"/>
        <v>Printed Hang Tag 10.5X4.5 CM</v>
      </c>
      <c r="Y462" s="31" t="s">
        <v>647</v>
      </c>
      <c r="Z462" s="32" t="str">
        <f t="shared" si="23"/>
        <v>Hang Tag 10.5x4.5 CM Die Cutting  160 White Craft</v>
      </c>
      <c r="AA462" s="32" t="str">
        <f t="shared" si="24"/>
        <v xml:space="preserve">   X </v>
      </c>
      <c r="AB462" s="32" t="s">
        <v>1113</v>
      </c>
    </row>
  </sheetData>
  <autoFilter ref="A1:AB462" xr:uid="{113638A1-167D-464E-B503-7AD10BC8911A}"/>
  <phoneticPr fontId="4" type="noConversion"/>
  <conditionalFormatting sqref="I43">
    <cfRule type="duplicateValues" dxfId="67" priority="18"/>
  </conditionalFormatting>
  <conditionalFormatting sqref="I278">
    <cfRule type="duplicateValues" dxfId="66" priority="89"/>
  </conditionalFormatting>
  <conditionalFormatting sqref="I281">
    <cfRule type="duplicateValues" dxfId="65" priority="86"/>
  </conditionalFormatting>
  <conditionalFormatting sqref="I282">
    <cfRule type="duplicateValues" dxfId="64" priority="85"/>
  </conditionalFormatting>
  <conditionalFormatting sqref="I283">
    <cfRule type="duplicateValues" dxfId="63" priority="83"/>
  </conditionalFormatting>
  <conditionalFormatting sqref="I284">
    <cfRule type="duplicateValues" dxfId="62" priority="82"/>
  </conditionalFormatting>
  <conditionalFormatting sqref="I285">
    <cfRule type="duplicateValues" dxfId="61" priority="81"/>
  </conditionalFormatting>
  <conditionalFormatting sqref="I286">
    <cfRule type="duplicateValues" dxfId="60" priority="80"/>
  </conditionalFormatting>
  <conditionalFormatting sqref="I291">
    <cfRule type="duplicateValues" dxfId="59" priority="73"/>
  </conditionalFormatting>
  <conditionalFormatting sqref="I293">
    <cfRule type="duplicateValues" dxfId="58" priority="71"/>
  </conditionalFormatting>
  <conditionalFormatting sqref="I302">
    <cfRule type="duplicateValues" dxfId="57" priority="14"/>
  </conditionalFormatting>
  <conditionalFormatting sqref="I345">
    <cfRule type="duplicateValues" dxfId="56" priority="13"/>
  </conditionalFormatting>
  <conditionalFormatting sqref="I350">
    <cfRule type="duplicateValues" dxfId="55" priority="66"/>
  </conditionalFormatting>
  <conditionalFormatting sqref="I351">
    <cfRule type="duplicateValues" dxfId="54" priority="65"/>
  </conditionalFormatting>
  <conditionalFormatting sqref="I410">
    <cfRule type="duplicateValues" dxfId="53" priority="19"/>
  </conditionalFormatting>
  <conditionalFormatting sqref="X142:X1048576 X1:X140">
    <cfRule type="duplicateValues" dxfId="52" priority="10"/>
    <cfRule type="duplicateValues" dxfId="51" priority="11"/>
    <cfRule type="duplicateValues" dxfId="50" priority="6"/>
  </conditionalFormatting>
  <conditionalFormatting sqref="Y1:Y1048576">
    <cfRule type="duplicateValues" dxfId="49" priority="9"/>
    <cfRule type="duplicateValues" dxfId="48" priority="12"/>
    <cfRule type="duplicateValues" dxfId="47" priority="7"/>
  </conditionalFormatting>
  <conditionalFormatting sqref="Y145 Y138:Y143">
    <cfRule type="duplicateValues" dxfId="46" priority="99"/>
  </conditionalFormatting>
  <conditionalFormatting sqref="Y146:Y462">
    <cfRule type="duplicateValues" dxfId="45" priority="183"/>
    <cfRule type="duplicateValues" dxfId="44" priority="184"/>
  </conditionalFormatting>
  <conditionalFormatting sqref="Y268">
    <cfRule type="duplicateValues" dxfId="43" priority="62"/>
  </conditionalFormatting>
  <conditionalFormatting sqref="Y269">
    <cfRule type="duplicateValues" dxfId="42" priority="61"/>
  </conditionalFormatting>
  <conditionalFormatting sqref="Y270">
    <cfRule type="duplicateValues" dxfId="41" priority="60"/>
  </conditionalFormatting>
  <conditionalFormatting sqref="Y271">
    <cfRule type="duplicateValues" dxfId="40" priority="59"/>
  </conditionalFormatting>
  <conditionalFormatting sqref="Y272">
    <cfRule type="duplicateValues" dxfId="39" priority="58"/>
  </conditionalFormatting>
  <conditionalFormatting sqref="Y273">
    <cfRule type="duplicateValues" dxfId="38" priority="57"/>
  </conditionalFormatting>
  <conditionalFormatting sqref="Y274">
    <cfRule type="duplicateValues" dxfId="37" priority="56"/>
  </conditionalFormatting>
  <conditionalFormatting sqref="Y275">
    <cfRule type="duplicateValues" dxfId="36" priority="55"/>
  </conditionalFormatting>
  <conditionalFormatting sqref="Y277">
    <cfRule type="duplicateValues" dxfId="35" priority="49"/>
  </conditionalFormatting>
  <conditionalFormatting sqref="Y278">
    <cfRule type="duplicateValues" dxfId="34" priority="48"/>
  </conditionalFormatting>
  <conditionalFormatting sqref="Y279">
    <cfRule type="duplicateValues" dxfId="33" priority="47"/>
  </conditionalFormatting>
  <conditionalFormatting sqref="Y280">
    <cfRule type="duplicateValues" dxfId="32" priority="46"/>
  </conditionalFormatting>
  <conditionalFormatting sqref="Y281">
    <cfRule type="duplicateValues" dxfId="31" priority="45"/>
  </conditionalFormatting>
  <conditionalFormatting sqref="Y282">
    <cfRule type="duplicateValues" dxfId="30" priority="44"/>
  </conditionalFormatting>
  <conditionalFormatting sqref="Y283">
    <cfRule type="duplicateValues" dxfId="29" priority="42"/>
  </conditionalFormatting>
  <conditionalFormatting sqref="Y284">
    <cfRule type="duplicateValues" dxfId="28" priority="41"/>
  </conditionalFormatting>
  <conditionalFormatting sqref="Y285">
    <cfRule type="duplicateValues" dxfId="27" priority="40"/>
  </conditionalFormatting>
  <conditionalFormatting sqref="Y286">
    <cfRule type="duplicateValues" dxfId="26" priority="39"/>
  </conditionalFormatting>
  <conditionalFormatting sqref="Y287">
    <cfRule type="duplicateValues" dxfId="25" priority="38"/>
  </conditionalFormatting>
  <conditionalFormatting sqref="Y288">
    <cfRule type="duplicateValues" dxfId="24" priority="37"/>
  </conditionalFormatting>
  <conditionalFormatting sqref="Y289">
    <cfRule type="duplicateValues" dxfId="23" priority="36"/>
  </conditionalFormatting>
  <conditionalFormatting sqref="Y290">
    <cfRule type="duplicateValues" dxfId="22" priority="35"/>
  </conditionalFormatting>
  <conditionalFormatting sqref="Y291">
    <cfRule type="duplicateValues" dxfId="21" priority="32"/>
  </conditionalFormatting>
  <conditionalFormatting sqref="Y292">
    <cfRule type="duplicateValues" dxfId="20" priority="31"/>
  </conditionalFormatting>
  <conditionalFormatting sqref="Y293">
    <cfRule type="duplicateValues" dxfId="19" priority="30"/>
  </conditionalFormatting>
  <conditionalFormatting sqref="Y294">
    <cfRule type="duplicateValues" dxfId="18" priority="29"/>
  </conditionalFormatting>
  <conditionalFormatting sqref="Y295">
    <cfRule type="duplicateValues" dxfId="17" priority="28"/>
  </conditionalFormatting>
  <conditionalFormatting sqref="Y296">
    <cfRule type="duplicateValues" dxfId="16" priority="54"/>
  </conditionalFormatting>
  <conditionalFormatting sqref="Y297">
    <cfRule type="duplicateValues" dxfId="15" priority="53"/>
  </conditionalFormatting>
  <conditionalFormatting sqref="Y298">
    <cfRule type="duplicateValues" dxfId="14" priority="52"/>
  </conditionalFormatting>
  <conditionalFormatting sqref="Y299">
    <cfRule type="duplicateValues" dxfId="13" priority="51"/>
  </conditionalFormatting>
  <conditionalFormatting sqref="Y300">
    <cfRule type="duplicateValues" dxfId="12" priority="50"/>
  </conditionalFormatting>
  <conditionalFormatting sqref="Y348">
    <cfRule type="duplicateValues" dxfId="11" priority="27"/>
  </conditionalFormatting>
  <conditionalFormatting sqref="Y349">
    <cfRule type="duplicateValues" dxfId="10" priority="26"/>
  </conditionalFormatting>
  <conditionalFormatting sqref="Y350">
    <cfRule type="duplicateValues" dxfId="9" priority="25"/>
  </conditionalFormatting>
  <conditionalFormatting sqref="Y351">
    <cfRule type="duplicateValues" dxfId="8" priority="24"/>
  </conditionalFormatting>
  <conditionalFormatting sqref="Y420">
    <cfRule type="duplicateValues" dxfId="7" priority="23"/>
  </conditionalFormatting>
  <conditionalFormatting sqref="Y421">
    <cfRule type="duplicateValues" dxfId="6" priority="22"/>
  </conditionalFormatting>
  <conditionalFormatting sqref="X142:Y1048576 Y141 X1:Y140">
    <cfRule type="duplicateValues" dxfId="5" priority="8"/>
  </conditionalFormatting>
  <conditionalFormatting sqref="X1:Y1048576">
    <cfRule type="duplicateValues" dxfId="4" priority="5"/>
  </conditionalFormatting>
  <conditionalFormatting sqref="Z1:Z1048576">
    <cfRule type="duplicateValues" dxfId="3" priority="4"/>
    <cfRule type="duplicateValues" dxfId="2" priority="3"/>
  </conditionalFormatting>
  <conditionalFormatting sqref="X1:X1048576">
    <cfRule type="duplicateValues" dxfId="1" priority="2"/>
  </conditionalFormatting>
  <conditionalFormatting sqref="AB1:AB1048576">
    <cfRule type="duplicateValues" dxfId="0" priority="1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Offset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Kawsar Ahamed</dc:creator>
  <cp:lastModifiedBy>Didar</cp:lastModifiedBy>
  <cp:lastPrinted>2025-02-09T05:41:00Z</cp:lastPrinted>
  <dcterms:created xsi:type="dcterms:W3CDTF">2024-11-30T07:20:27Z</dcterms:created>
  <dcterms:modified xsi:type="dcterms:W3CDTF">2025-08-14T14:15:44Z</dcterms:modified>
</cp:coreProperties>
</file>