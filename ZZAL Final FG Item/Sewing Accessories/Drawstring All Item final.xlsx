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ZZAL Final FG Item\Sewing Accessories\"/>
    </mc:Choice>
  </mc:AlternateContent>
  <xr:revisionPtr revIDLastSave="0" documentId="13_ncr:1_{A4AD3169-2F7B-461C-B8C3-7197FAE91E39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Sheet1!$B$1:$T$25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0" i="1" l="1"/>
  <c r="Q12" i="1" l="1"/>
  <c r="Q11" i="1"/>
  <c r="Q7" i="1"/>
  <c r="Q6" i="1"/>
  <c r="Q19" i="1" l="1"/>
  <c r="Q13" i="1"/>
  <c r="Q14" i="1"/>
  <c r="Q15" i="1"/>
  <c r="Q16" i="1"/>
  <c r="Q17" i="1"/>
  <c r="Q18" i="1"/>
  <c r="Q21" i="1"/>
  <c r="Q22" i="1"/>
  <c r="Q23" i="1"/>
  <c r="Q24" i="1"/>
  <c r="Q25" i="1"/>
  <c r="Q10" i="1" l="1"/>
  <c r="Q9" i="1"/>
  <c r="Q8" i="1"/>
  <c r="Q5" i="1"/>
  <c r="Q4" i="1"/>
  <c r="Q3" i="1"/>
  <c r="Q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shahariar asif</author>
  </authors>
  <commentList>
    <comment ref="I1" authorId="0" shapeId="0" xr:uid="{C49B770C-146E-4337-A3ED-5448F6488BB6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J1" authorId="0" shapeId="0" xr:uid="{71AB326D-BEAD-4CC3-843E-008173BB50B7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K1" authorId="0" shapeId="0" xr:uid="{BFFCB214-688C-42D8-81C3-1B71F9C2CE88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L1" authorId="0" shapeId="0" xr:uid="{1292F054-52D0-43E7-8EB5-129696A8F721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N1" authorId="0" shapeId="0" xr:uid="{79A4AF36-3035-44FA-BC64-68AFB177C7CB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O1" authorId="0" shapeId="0" xr:uid="{842ABFF8-FA7E-41BA-B73A-A52AE6E45E5D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P1" authorId="0" shapeId="0" xr:uid="{912812CC-7A7D-497C-9EA0-53968AF0C165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</commentList>
</comments>
</file>

<file path=xl/sharedStrings.xml><?xml version="1.0" encoding="utf-8"?>
<sst xmlns="http://schemas.openxmlformats.org/spreadsheetml/2006/main" count="258" uniqueCount="62">
  <si>
    <t>NG Item Categories
Major Categories</t>
  </si>
  <si>
    <t>Major 
Categories ID</t>
  </si>
  <si>
    <t>Item Prefix</t>
  </si>
  <si>
    <t>Item Prefix
Descriptions</t>
  </si>
  <si>
    <t>Status / Quality</t>
  </si>
  <si>
    <t>Color / Shade</t>
  </si>
  <si>
    <t>FG UOM</t>
  </si>
  <si>
    <t>Product Name</t>
  </si>
  <si>
    <t>Thread Type</t>
  </si>
  <si>
    <t>Rubber Type</t>
  </si>
  <si>
    <t>Width</t>
  </si>
  <si>
    <t>Width UOM</t>
  </si>
  <si>
    <t>Length</t>
  </si>
  <si>
    <t>Length UOM</t>
  </si>
  <si>
    <t>Tipping Type</t>
  </si>
  <si>
    <t>Item Desc</t>
  </si>
  <si>
    <t>Item Code</t>
  </si>
  <si>
    <t>Note</t>
  </si>
  <si>
    <t>Drawstring</t>
  </si>
  <si>
    <t>Manufactured</t>
  </si>
  <si>
    <t>Raw Gray</t>
  </si>
  <si>
    <t>Yds</t>
  </si>
  <si>
    <t>Round Drawstring</t>
  </si>
  <si>
    <t>100% Cotton</t>
  </si>
  <si>
    <t>MM</t>
  </si>
  <si>
    <t>2006.00601567.0001.0002.0000.0000</t>
  </si>
  <si>
    <t xml:space="preserve">Black </t>
  </si>
  <si>
    <t>2006.00000948.0001.0017.0000.0000</t>
  </si>
  <si>
    <t>2006.00602437.0001.9658.0000.0000</t>
  </si>
  <si>
    <t>Raw Off White</t>
  </si>
  <si>
    <t>2006.00001094.0001.0000.0000.0000</t>
  </si>
  <si>
    <t>2006.00001246.0001.0000.0000.0000</t>
  </si>
  <si>
    <t>KGS</t>
  </si>
  <si>
    <t>2006.00000726.0001.0020.0000.0000</t>
  </si>
  <si>
    <t>42 Bar</t>
  </si>
  <si>
    <t>2006.00600865.0001.0002.0000.0000</t>
  </si>
  <si>
    <t>2006.00601852.0001.0002.0000.0000</t>
  </si>
  <si>
    <t>2006.00602423.0001.0002.0000.0000</t>
  </si>
  <si>
    <t>2006.00601515.0001.2172.0000.0000</t>
  </si>
  <si>
    <t>Flat Drawstring</t>
  </si>
  <si>
    <t>2006.00601905.0001.0002.0000.0000</t>
  </si>
  <si>
    <t>Green</t>
  </si>
  <si>
    <t>PCS</t>
  </si>
  <si>
    <t>CM</t>
  </si>
  <si>
    <t>Plastic Tipping</t>
  </si>
  <si>
    <t>2007.00000825.0001.0015.0000.0000</t>
  </si>
  <si>
    <t>2007.00000826.0001.0015.0000.0000</t>
  </si>
  <si>
    <t>2007.00000827.0001.0015.0000.0000</t>
  </si>
  <si>
    <t>2006.00602887.0005.0012.0000.0000</t>
  </si>
  <si>
    <t>2006.00602888.0005.0012.0000.0000</t>
  </si>
  <si>
    <t>2006.00602889.0005.0012.0000.0000</t>
  </si>
  <si>
    <t>2006.00602005.0001.0002.0000.0000</t>
  </si>
  <si>
    <t>2006.00602069.0001.0002.0000.0000</t>
  </si>
  <si>
    <t>White</t>
  </si>
  <si>
    <t>2006.00602915.0005.0002.0000.0000</t>
  </si>
  <si>
    <t>2006.00602916.0005.0002.0000.0000</t>
  </si>
  <si>
    <t>2006.00602917.0005.0002.0000.0000</t>
  </si>
  <si>
    <t>2006.00602918.0005.0002.0000.0000</t>
  </si>
  <si>
    <t>2006.00602919.0005.0002.0000.0000</t>
  </si>
  <si>
    <t>Sewing Accessories</t>
  </si>
  <si>
    <t>Pink</t>
  </si>
  <si>
    <t>100% Polyester Filament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</si>
</sst>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0" fillId="0" borderId="2" xfId="0" applyBorder="1"/>
    <xf numFmtId="16" fontId="0" fillId="0" borderId="0" xfId="0" applyNumberFormat="1"/>
    <xf numFmtId="0" fontId="4" fillId="0" borderId="0" xfId="0" applyFont="1"/>
    <xf numFmtId="0" fontId="4" fillId="0" borderId="1" xfId="0" applyFont="1" applyBorder="1"/>
    <xf numFmtId="0" fontId="8" fillId="3" borderId="3" xfId="0" applyFont="1" applyFill="1" applyBorder="1" applyAlignment="1">
      <alignment horizontal="justify" wrapText="1"/>
    </xf>
    <xf numFmtId="0" fontId="0" fillId="2" borderId="1" xfId="0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4" fillId="2" borderId="1" xfId="0" applyFont="1" applyFill="1" applyBorder="1"/>
    <xf numFmtId="0" fontId="8" fillId="2" borderId="3" xfId="0" applyFont="1" applyFill="1" applyBorder="1" applyAlignment="1">
      <alignment horizontal="justify" wrapText="1"/>
    </xf>
    <xf numFmtId="0" fontId="0" fillId="2" borderId="0" xfId="0" applyFill="1"/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6"/>
  <sheetViews>
    <sheetView tabSelected="1" topLeftCell="H1" zoomScale="70" zoomScaleNormal="70" workbookViewId="0">
      <pane ySplit="1" topLeftCell="A8" activePane="bottomLeft" state="frozen"/>
      <selection activeCell="E1" sqref="E1"/>
      <selection pane="bottomLeft" activeCell="Q13" sqref="Q13"/>
    </sheetView>
  </sheetViews>
  <sheetFormatPr defaultRowHeight="14.5" x14ac:dyDescent="0.35"/>
  <cols>
    <col min="1" max="1" width="3.81640625" customWidth="1"/>
    <col min="2" max="2" width="14" customWidth="1"/>
    <col min="5" max="5" width="19.453125" customWidth="1"/>
    <col min="6" max="6" width="17.453125" customWidth="1"/>
    <col min="7" max="7" width="14.453125" customWidth="1"/>
    <col min="9" max="9" width="24.26953125" customWidth="1"/>
    <col min="10" max="10" width="27.81640625" bestFit="1" customWidth="1"/>
    <col min="11" max="11" width="16.453125" customWidth="1"/>
    <col min="16" max="16" width="17.453125" bestFit="1" customWidth="1"/>
    <col min="17" max="17" width="72.453125" customWidth="1"/>
    <col min="18" max="18" width="38.7265625" customWidth="1"/>
  </cols>
  <sheetData>
    <row r="1" spans="2:20" ht="34.5" x14ac:dyDescent="0.35">
      <c r="B1" s="15" t="s">
        <v>0</v>
      </c>
      <c r="C1" s="15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7" t="s">
        <v>16</v>
      </c>
      <c r="S1" s="16" t="s">
        <v>17</v>
      </c>
    </row>
    <row r="2" spans="2:20" ht="15.5" x14ac:dyDescent="0.35">
      <c r="B2" s="1" t="s">
        <v>18</v>
      </c>
      <c r="C2" s="1"/>
      <c r="D2" s="2">
        <v>2006</v>
      </c>
      <c r="E2" s="2" t="s">
        <v>59</v>
      </c>
      <c r="F2" s="3" t="s">
        <v>19</v>
      </c>
      <c r="G2" s="1" t="s">
        <v>20</v>
      </c>
      <c r="H2" s="1" t="s">
        <v>21</v>
      </c>
      <c r="I2" s="2" t="s">
        <v>22</v>
      </c>
      <c r="J2" s="4" t="s">
        <v>23</v>
      </c>
      <c r="K2" s="1"/>
      <c r="L2" s="1">
        <v>1</v>
      </c>
      <c r="M2" s="1" t="s">
        <v>24</v>
      </c>
      <c r="N2" s="1"/>
      <c r="O2" s="1"/>
      <c r="P2" s="1"/>
      <c r="Q2" s="1" t="str">
        <f>CONCATENATE(J2," ",L2," ",M2," ",I2," ",N2,O2,G2)</f>
        <v>100% Cotton 1 MM Round Drawstring Raw Gray</v>
      </c>
      <c r="R2" s="1" t="s">
        <v>25</v>
      </c>
      <c r="S2" s="1"/>
      <c r="T2" s="5"/>
    </row>
    <row r="3" spans="2:20" ht="15.5" x14ac:dyDescent="0.35">
      <c r="B3" s="1" t="s">
        <v>18</v>
      </c>
      <c r="C3" s="1"/>
      <c r="D3" s="2">
        <v>2006</v>
      </c>
      <c r="E3" s="2" t="s">
        <v>59</v>
      </c>
      <c r="F3" s="3" t="s">
        <v>19</v>
      </c>
      <c r="G3" s="1" t="s">
        <v>26</v>
      </c>
      <c r="H3" s="1" t="s">
        <v>21</v>
      </c>
      <c r="I3" s="2" t="s">
        <v>22</v>
      </c>
      <c r="J3" s="6" t="s">
        <v>61</v>
      </c>
      <c r="K3" s="7"/>
      <c r="L3" s="1">
        <v>1</v>
      </c>
      <c r="M3" s="1" t="s">
        <v>24</v>
      </c>
      <c r="N3" s="1"/>
      <c r="O3" s="1"/>
      <c r="P3" s="1"/>
      <c r="Q3" s="1" t="str">
        <f t="shared" ref="Q3:Q10" si="0">CONCATENATE(J3," ",L3," ",M3," ",I3," ",N3,O3,G3)</f>
        <v xml:space="preserve">100% Polyester Filament 1 MM Round Drawstring Black </v>
      </c>
      <c r="R3" s="1" t="s">
        <v>27</v>
      </c>
      <c r="S3" s="1"/>
    </row>
    <row r="4" spans="2:20" ht="15.5" x14ac:dyDescent="0.35">
      <c r="B4" s="1" t="s">
        <v>18</v>
      </c>
      <c r="C4" s="1"/>
      <c r="D4" s="2">
        <v>2006</v>
      </c>
      <c r="E4" s="2" t="s">
        <v>59</v>
      </c>
      <c r="F4" s="3" t="s">
        <v>19</v>
      </c>
      <c r="G4" s="1" t="s">
        <v>20</v>
      </c>
      <c r="H4" s="1" t="s">
        <v>21</v>
      </c>
      <c r="I4" s="2" t="s">
        <v>22</v>
      </c>
      <c r="J4" s="4" t="s">
        <v>23</v>
      </c>
      <c r="K4" s="1"/>
      <c r="L4" s="1">
        <v>1.5</v>
      </c>
      <c r="M4" s="1" t="s">
        <v>24</v>
      </c>
      <c r="N4" s="1"/>
      <c r="O4" s="1"/>
      <c r="P4" s="1"/>
      <c r="Q4" s="1" t="str">
        <f>CONCATENATE(J4," ",L4," ",M4," ",I4," ",N4,O4,G4)</f>
        <v>100% Cotton 1.5 MM Round Drawstring Raw Gray</v>
      </c>
      <c r="R4" s="1" t="s">
        <v>28</v>
      </c>
      <c r="S4" s="1"/>
      <c r="T4" s="5"/>
    </row>
    <row r="5" spans="2:20" ht="15.5" x14ac:dyDescent="0.35">
      <c r="B5" s="1" t="s">
        <v>18</v>
      </c>
      <c r="C5" s="1"/>
      <c r="D5" s="2">
        <v>2006</v>
      </c>
      <c r="E5" s="2" t="s">
        <v>59</v>
      </c>
      <c r="F5" s="3" t="s">
        <v>19</v>
      </c>
      <c r="G5" s="1" t="s">
        <v>29</v>
      </c>
      <c r="H5" s="1" t="s">
        <v>21</v>
      </c>
      <c r="I5" s="2" t="s">
        <v>22</v>
      </c>
      <c r="J5" s="7" t="s">
        <v>61</v>
      </c>
      <c r="K5" s="7"/>
      <c r="L5" s="1">
        <v>2.5</v>
      </c>
      <c r="M5" s="1" t="s">
        <v>24</v>
      </c>
      <c r="N5" s="1"/>
      <c r="O5" s="1"/>
      <c r="P5" s="1"/>
      <c r="Q5" s="1" t="str">
        <f t="shared" si="0"/>
        <v>100% Polyester Filament 2.5 MM Round Drawstring Raw Off White</v>
      </c>
      <c r="R5" s="1" t="s">
        <v>30</v>
      </c>
      <c r="S5" s="1"/>
    </row>
    <row r="6" spans="2:20" ht="15.5" x14ac:dyDescent="0.35">
      <c r="B6" s="1" t="s">
        <v>18</v>
      </c>
      <c r="C6" s="1"/>
      <c r="D6" s="2">
        <v>2006</v>
      </c>
      <c r="E6" s="2" t="s">
        <v>59</v>
      </c>
      <c r="F6" s="3" t="s">
        <v>19</v>
      </c>
      <c r="G6" s="1" t="s">
        <v>20</v>
      </c>
      <c r="H6" s="1" t="s">
        <v>21</v>
      </c>
      <c r="I6" s="2" t="s">
        <v>22</v>
      </c>
      <c r="J6" s="4" t="s">
        <v>23</v>
      </c>
      <c r="K6" s="7"/>
      <c r="L6" s="1">
        <v>3</v>
      </c>
      <c r="M6" s="1" t="s">
        <v>24</v>
      </c>
      <c r="N6" s="1"/>
      <c r="O6" s="1"/>
      <c r="P6" s="1"/>
      <c r="Q6" s="1" t="str">
        <f>CONCATENATE(J6," ",L6," ",M6," ",I6," ",N6,"",O6,"",G6)</f>
        <v>100% Cotton 3 MM Round Drawstring Raw Gray</v>
      </c>
      <c r="R6" s="1" t="s">
        <v>31</v>
      </c>
      <c r="S6" s="1"/>
      <c r="T6" s="5"/>
    </row>
    <row r="7" spans="2:20" ht="15.5" x14ac:dyDescent="0.35">
      <c r="B7" s="1" t="s">
        <v>18</v>
      </c>
      <c r="C7" s="1"/>
      <c r="D7" s="2">
        <v>2006</v>
      </c>
      <c r="E7" s="2" t="s">
        <v>59</v>
      </c>
      <c r="F7" s="3" t="s">
        <v>19</v>
      </c>
      <c r="G7" s="1" t="s">
        <v>20</v>
      </c>
      <c r="H7" s="1" t="s">
        <v>32</v>
      </c>
      <c r="I7" s="2" t="s">
        <v>22</v>
      </c>
      <c r="J7" s="4" t="s">
        <v>23</v>
      </c>
      <c r="K7" s="7"/>
      <c r="L7" s="1">
        <v>3</v>
      </c>
      <c r="M7" s="1" t="s">
        <v>24</v>
      </c>
      <c r="N7" s="1"/>
      <c r="O7" s="1"/>
      <c r="P7" s="1"/>
      <c r="Q7" s="1" t="str">
        <f>CONCATENATE(J7," ",L7," ",M7," ",I7,"",N7," ",O7,"",G7," ","KGS")</f>
        <v>100% Cotton 3 MM Round Drawstring Raw Gray KGS</v>
      </c>
      <c r="R7" s="1" t="s">
        <v>33</v>
      </c>
      <c r="S7" s="1"/>
    </row>
    <row r="8" spans="2:20" ht="15.5" x14ac:dyDescent="0.35">
      <c r="B8" s="1" t="s">
        <v>18</v>
      </c>
      <c r="C8" s="1"/>
      <c r="D8" s="2">
        <v>2006</v>
      </c>
      <c r="E8" s="2" t="s">
        <v>59</v>
      </c>
      <c r="F8" s="3" t="s">
        <v>19</v>
      </c>
      <c r="G8" s="1" t="s">
        <v>29</v>
      </c>
      <c r="H8" s="1" t="s">
        <v>21</v>
      </c>
      <c r="I8" s="2" t="s">
        <v>22</v>
      </c>
      <c r="J8" s="6" t="s">
        <v>61</v>
      </c>
      <c r="K8" s="7" t="s">
        <v>34</v>
      </c>
      <c r="L8" s="1">
        <v>3</v>
      </c>
      <c r="M8" s="1" t="s">
        <v>24</v>
      </c>
      <c r="N8" s="1"/>
      <c r="O8" s="1"/>
      <c r="P8" s="1"/>
      <c r="Q8" s="1" t="str">
        <f t="shared" si="0"/>
        <v>100% Polyester Filament 3 MM Round Drawstring Raw Off White</v>
      </c>
      <c r="R8" s="1" t="s">
        <v>35</v>
      </c>
      <c r="S8" s="1"/>
    </row>
    <row r="9" spans="2:20" ht="15.5" x14ac:dyDescent="0.35">
      <c r="B9" s="1" t="s">
        <v>18</v>
      </c>
      <c r="C9" s="1"/>
      <c r="D9" s="2">
        <v>2006</v>
      </c>
      <c r="E9" s="2" t="s">
        <v>59</v>
      </c>
      <c r="F9" s="3" t="s">
        <v>19</v>
      </c>
      <c r="G9" s="1" t="s">
        <v>20</v>
      </c>
      <c r="H9" s="1" t="s">
        <v>21</v>
      </c>
      <c r="I9" s="2" t="s">
        <v>22</v>
      </c>
      <c r="J9" s="4" t="s">
        <v>23</v>
      </c>
      <c r="K9" s="7"/>
      <c r="L9" s="1">
        <v>3.5</v>
      </c>
      <c r="M9" s="1" t="s">
        <v>24</v>
      </c>
      <c r="N9" s="1"/>
      <c r="O9" s="1"/>
      <c r="P9" s="1"/>
      <c r="Q9" s="1" t="str">
        <f t="shared" si="0"/>
        <v>100% Cotton 3.5 MM Round Drawstring Raw Gray</v>
      </c>
      <c r="R9" s="1" t="s">
        <v>36</v>
      </c>
      <c r="S9" s="1"/>
      <c r="T9" s="5"/>
    </row>
    <row r="10" spans="2:20" ht="15.5" x14ac:dyDescent="0.35">
      <c r="B10" s="1" t="s">
        <v>18</v>
      </c>
      <c r="C10" s="1"/>
      <c r="D10" s="2">
        <v>2006</v>
      </c>
      <c r="E10" s="2" t="s">
        <v>59</v>
      </c>
      <c r="F10" s="3" t="s">
        <v>19</v>
      </c>
      <c r="G10" s="1" t="s">
        <v>20</v>
      </c>
      <c r="H10" s="1" t="s">
        <v>21</v>
      </c>
      <c r="I10" s="2" t="s">
        <v>22</v>
      </c>
      <c r="J10" s="4" t="s">
        <v>23</v>
      </c>
      <c r="K10" s="7"/>
      <c r="L10" s="1">
        <v>5</v>
      </c>
      <c r="M10" s="1" t="s">
        <v>24</v>
      </c>
      <c r="N10" s="1"/>
      <c r="O10" s="1"/>
      <c r="P10" s="1"/>
      <c r="Q10" s="1" t="str">
        <f t="shared" si="0"/>
        <v>100% Cotton 5 MM Round Drawstring Raw Gray</v>
      </c>
      <c r="R10" s="1" t="s">
        <v>37</v>
      </c>
      <c r="S10" s="1"/>
    </row>
    <row r="11" spans="2:20" ht="15.5" x14ac:dyDescent="0.35">
      <c r="B11" s="1" t="s">
        <v>18</v>
      </c>
      <c r="C11" s="1"/>
      <c r="D11" s="2">
        <v>2006</v>
      </c>
      <c r="E11" s="2" t="s">
        <v>59</v>
      </c>
      <c r="F11" s="3" t="s">
        <v>19</v>
      </c>
      <c r="G11" s="1" t="s">
        <v>29</v>
      </c>
      <c r="H11" s="1" t="s">
        <v>21</v>
      </c>
      <c r="I11" s="2" t="s">
        <v>22</v>
      </c>
      <c r="J11" s="6" t="s">
        <v>61</v>
      </c>
      <c r="K11" s="7"/>
      <c r="L11" s="1">
        <v>6</v>
      </c>
      <c r="M11" s="1" t="s">
        <v>24</v>
      </c>
      <c r="N11" s="1"/>
      <c r="O11" s="1"/>
      <c r="P11" s="1"/>
      <c r="Q11" s="1" t="str">
        <f>CONCATENATE(J11," ",L11," ",M11," ",I11," ",N11,"",O11,"",G11)</f>
        <v>100% Polyester Filament 6 MM Round Drawstring Raw Off White</v>
      </c>
      <c r="R11" s="1" t="s">
        <v>38</v>
      </c>
      <c r="S11" s="1"/>
    </row>
    <row r="12" spans="2:20" ht="15.5" x14ac:dyDescent="0.35">
      <c r="B12" s="1" t="s">
        <v>18</v>
      </c>
      <c r="C12" s="1"/>
      <c r="D12" s="2">
        <v>2006</v>
      </c>
      <c r="E12" s="2" t="s">
        <v>59</v>
      </c>
      <c r="F12" s="3" t="s">
        <v>19</v>
      </c>
      <c r="G12" s="1" t="s">
        <v>29</v>
      </c>
      <c r="H12" s="1" t="s">
        <v>21</v>
      </c>
      <c r="I12" s="2" t="s">
        <v>39</v>
      </c>
      <c r="J12" s="6" t="s">
        <v>61</v>
      </c>
      <c r="K12" s="7"/>
      <c r="L12" s="1">
        <v>9</v>
      </c>
      <c r="M12" s="1" t="s">
        <v>24</v>
      </c>
      <c r="N12" s="1"/>
      <c r="O12" s="1"/>
      <c r="P12" s="1"/>
      <c r="Q12" s="1" t="str">
        <f>CONCATENATE(J12," ",L12," ",M12," ",I12," ",N12,"",O12,"",G12)</f>
        <v>100% Polyester Filament 9 MM Flat Drawstring Raw Off White</v>
      </c>
      <c r="R12" s="1" t="s">
        <v>40</v>
      </c>
      <c r="S12" s="1"/>
    </row>
    <row r="13" spans="2:20" ht="15.5" x14ac:dyDescent="0.35">
      <c r="B13" s="1" t="s">
        <v>18</v>
      </c>
      <c r="C13" s="1"/>
      <c r="D13" s="2">
        <v>2006</v>
      </c>
      <c r="E13" s="2" t="s">
        <v>59</v>
      </c>
      <c r="F13" s="3" t="s">
        <v>19</v>
      </c>
      <c r="G13" s="1" t="s">
        <v>41</v>
      </c>
      <c r="H13" s="1" t="s">
        <v>42</v>
      </c>
      <c r="I13" s="2" t="s">
        <v>22</v>
      </c>
      <c r="J13" s="7" t="s">
        <v>61</v>
      </c>
      <c r="K13" s="7"/>
      <c r="L13" s="1">
        <v>6</v>
      </c>
      <c r="M13" s="1" t="s">
        <v>24</v>
      </c>
      <c r="N13" s="1">
        <v>110</v>
      </c>
      <c r="O13" s="1" t="s">
        <v>43</v>
      </c>
      <c r="P13" s="1" t="s">
        <v>44</v>
      </c>
      <c r="Q13" s="1" t="str">
        <f t="shared" ref="Q13:Q25" si="1">CONCATENATE(J13," ",L13," ",M13," ",I13," ",N13," ",O13," ",G13)</f>
        <v>100% Polyester Filament 6 MM Round Drawstring 110 CM Green</v>
      </c>
      <c r="R13" s="1" t="s">
        <v>45</v>
      </c>
      <c r="S13" s="1"/>
    </row>
    <row r="14" spans="2:20" ht="15.5" x14ac:dyDescent="0.35">
      <c r="B14" s="1" t="s">
        <v>18</v>
      </c>
      <c r="C14" s="1"/>
      <c r="D14" s="2">
        <v>2006</v>
      </c>
      <c r="E14" s="2" t="s">
        <v>59</v>
      </c>
      <c r="F14" s="3" t="s">
        <v>19</v>
      </c>
      <c r="G14" s="1" t="s">
        <v>41</v>
      </c>
      <c r="H14" s="1" t="s">
        <v>42</v>
      </c>
      <c r="I14" s="2" t="s">
        <v>22</v>
      </c>
      <c r="J14" s="7" t="s">
        <v>61</v>
      </c>
      <c r="K14" s="7"/>
      <c r="L14" s="1">
        <v>6</v>
      </c>
      <c r="M14" s="1" t="s">
        <v>24</v>
      </c>
      <c r="N14" s="1">
        <v>112</v>
      </c>
      <c r="O14" s="1" t="s">
        <v>43</v>
      </c>
      <c r="P14" s="1" t="s">
        <v>44</v>
      </c>
      <c r="Q14" s="1" t="str">
        <f t="shared" si="1"/>
        <v>100% Polyester Filament 6 MM Round Drawstring 112 CM Green</v>
      </c>
      <c r="R14" s="1" t="s">
        <v>46</v>
      </c>
      <c r="S14" s="1"/>
    </row>
    <row r="15" spans="2:20" ht="15.5" x14ac:dyDescent="0.35">
      <c r="B15" s="1" t="s">
        <v>18</v>
      </c>
      <c r="C15" s="1"/>
      <c r="D15" s="2">
        <v>2006</v>
      </c>
      <c r="E15" s="2" t="s">
        <v>59</v>
      </c>
      <c r="F15" s="3" t="s">
        <v>19</v>
      </c>
      <c r="G15" s="1" t="s">
        <v>41</v>
      </c>
      <c r="H15" s="1" t="s">
        <v>42</v>
      </c>
      <c r="I15" s="2" t="s">
        <v>22</v>
      </c>
      <c r="J15" s="7" t="s">
        <v>61</v>
      </c>
      <c r="K15" s="7"/>
      <c r="L15" s="1">
        <v>6</v>
      </c>
      <c r="M15" s="1" t="s">
        <v>24</v>
      </c>
      <c r="N15" s="1">
        <v>114</v>
      </c>
      <c r="O15" s="1" t="s">
        <v>43</v>
      </c>
      <c r="P15" s="1" t="s">
        <v>44</v>
      </c>
      <c r="Q15" s="1" t="str">
        <f t="shared" si="1"/>
        <v>100% Polyester Filament 6 MM Round Drawstring 114 CM Green</v>
      </c>
      <c r="R15" s="1" t="s">
        <v>47</v>
      </c>
      <c r="S15" s="1"/>
    </row>
    <row r="16" spans="2:20" ht="15.5" x14ac:dyDescent="0.35">
      <c r="B16" s="1" t="s">
        <v>18</v>
      </c>
      <c r="C16" s="1"/>
      <c r="D16" s="2">
        <v>2006</v>
      </c>
      <c r="E16" s="2" t="s">
        <v>59</v>
      </c>
      <c r="F16" s="3" t="s">
        <v>19</v>
      </c>
      <c r="G16" s="1" t="s">
        <v>60</v>
      </c>
      <c r="H16" s="1" t="s">
        <v>42</v>
      </c>
      <c r="I16" s="2" t="s">
        <v>22</v>
      </c>
      <c r="J16" s="7" t="s">
        <v>61</v>
      </c>
      <c r="K16" s="7"/>
      <c r="L16" s="1">
        <v>6</v>
      </c>
      <c r="M16" s="1" t="s">
        <v>24</v>
      </c>
      <c r="N16" s="1">
        <v>110</v>
      </c>
      <c r="O16" s="1" t="s">
        <v>43</v>
      </c>
      <c r="P16" s="1" t="s">
        <v>44</v>
      </c>
      <c r="Q16" s="1" t="str">
        <f t="shared" si="1"/>
        <v>100% Polyester Filament 6 MM Round Drawstring 110 CM Pink</v>
      </c>
      <c r="R16" s="8" t="s">
        <v>48</v>
      </c>
      <c r="S16" s="1"/>
    </row>
    <row r="17" spans="2:19" ht="15.5" x14ac:dyDescent="0.35">
      <c r="B17" s="1" t="s">
        <v>18</v>
      </c>
      <c r="C17" s="1"/>
      <c r="D17" s="2">
        <v>2006</v>
      </c>
      <c r="E17" s="2" t="s">
        <v>59</v>
      </c>
      <c r="F17" s="3" t="s">
        <v>19</v>
      </c>
      <c r="G17" s="1" t="s">
        <v>60</v>
      </c>
      <c r="H17" s="1" t="s">
        <v>42</v>
      </c>
      <c r="I17" s="2" t="s">
        <v>22</v>
      </c>
      <c r="J17" s="7" t="s">
        <v>61</v>
      </c>
      <c r="K17" s="7"/>
      <c r="L17" s="1">
        <v>6</v>
      </c>
      <c r="M17" s="1" t="s">
        <v>24</v>
      </c>
      <c r="N17" s="1">
        <v>112</v>
      </c>
      <c r="O17" s="1" t="s">
        <v>43</v>
      </c>
      <c r="P17" s="1" t="s">
        <v>44</v>
      </c>
      <c r="Q17" s="1" t="str">
        <f t="shared" si="1"/>
        <v>100% Polyester Filament 6 MM Round Drawstring 112 CM Pink</v>
      </c>
      <c r="R17" s="8" t="s">
        <v>49</v>
      </c>
      <c r="S17" s="1"/>
    </row>
    <row r="18" spans="2:19" s="14" customFormat="1" ht="15.5" x14ac:dyDescent="0.35">
      <c r="B18" s="9" t="s">
        <v>18</v>
      </c>
      <c r="C18" s="9"/>
      <c r="D18" s="10">
        <v>2006</v>
      </c>
      <c r="E18" s="10" t="s">
        <v>59</v>
      </c>
      <c r="F18" s="11" t="s">
        <v>19</v>
      </c>
      <c r="G18" s="9" t="s">
        <v>60</v>
      </c>
      <c r="H18" s="9" t="s">
        <v>42</v>
      </c>
      <c r="I18" s="10" t="s">
        <v>22</v>
      </c>
      <c r="J18" s="12" t="s">
        <v>61</v>
      </c>
      <c r="K18" s="12"/>
      <c r="L18" s="9">
        <v>6</v>
      </c>
      <c r="M18" s="9" t="s">
        <v>24</v>
      </c>
      <c r="N18" s="9">
        <v>114</v>
      </c>
      <c r="O18" s="9" t="s">
        <v>43</v>
      </c>
      <c r="P18" s="9" t="s">
        <v>44</v>
      </c>
      <c r="Q18" s="9" t="str">
        <f t="shared" si="1"/>
        <v>100% Polyester Filament 6 MM Round Drawstring 114 CM Pink</v>
      </c>
      <c r="R18" s="13" t="s">
        <v>50</v>
      </c>
      <c r="S18" s="9"/>
    </row>
    <row r="19" spans="2:19" ht="15.5" x14ac:dyDescent="0.35">
      <c r="B19" s="1" t="s">
        <v>18</v>
      </c>
      <c r="C19" s="1"/>
      <c r="D19" s="2">
        <v>2006</v>
      </c>
      <c r="E19" s="2" t="s">
        <v>59</v>
      </c>
      <c r="F19" s="3" t="s">
        <v>19</v>
      </c>
      <c r="G19" s="1" t="s">
        <v>29</v>
      </c>
      <c r="H19" s="1" t="s">
        <v>42</v>
      </c>
      <c r="I19" s="2" t="s">
        <v>22</v>
      </c>
      <c r="J19" s="7" t="s">
        <v>61</v>
      </c>
      <c r="K19" s="7"/>
      <c r="L19" s="1">
        <v>6</v>
      </c>
      <c r="M19" s="1" t="s">
        <v>24</v>
      </c>
      <c r="N19" s="1"/>
      <c r="O19" s="1"/>
      <c r="P19" s="1"/>
      <c r="Q19" s="1" t="str">
        <f>CONCATENATE(J19," ",L19," ",M19," ",I19," ",N19," ",O19,"",G19," ","PCS")</f>
        <v>100% Polyester Filament 6 MM Round Drawstring  Raw Off White PCS</v>
      </c>
      <c r="R19" s="8" t="s">
        <v>51</v>
      </c>
      <c r="S19" s="1"/>
    </row>
    <row r="20" spans="2:19" ht="15.5" x14ac:dyDescent="0.35">
      <c r="B20" s="1" t="s">
        <v>18</v>
      </c>
      <c r="C20" s="1"/>
      <c r="D20" s="2">
        <v>2006</v>
      </c>
      <c r="E20" s="2" t="s">
        <v>59</v>
      </c>
      <c r="F20" s="3" t="s">
        <v>19</v>
      </c>
      <c r="G20" s="1" t="s">
        <v>29</v>
      </c>
      <c r="H20" s="1" t="s">
        <v>21</v>
      </c>
      <c r="I20" s="2" t="s">
        <v>39</v>
      </c>
      <c r="J20" s="7" t="s">
        <v>61</v>
      </c>
      <c r="K20" s="7" t="s">
        <v>34</v>
      </c>
      <c r="L20" s="1">
        <v>0.63</v>
      </c>
      <c r="M20" s="1" t="s">
        <v>24</v>
      </c>
      <c r="N20" s="1"/>
      <c r="O20" s="1"/>
      <c r="P20" s="1"/>
      <c r="Q20" s="1" t="str">
        <f>CONCATENATE(J20," ",L20," ",M20," ",I20," ",N20,"",O20,"",G20)</f>
        <v>100% Polyester Filament 0.63 MM Flat Drawstring Raw Off White</v>
      </c>
      <c r="R20" s="8" t="s">
        <v>52</v>
      </c>
      <c r="S20" s="1"/>
    </row>
    <row r="21" spans="2:19" ht="15.5" x14ac:dyDescent="0.35">
      <c r="B21" s="1" t="s">
        <v>18</v>
      </c>
      <c r="C21" s="1"/>
      <c r="D21" s="2">
        <v>2006</v>
      </c>
      <c r="E21" s="2" t="s">
        <v>59</v>
      </c>
      <c r="F21" s="3" t="s">
        <v>19</v>
      </c>
      <c r="G21" s="1" t="s">
        <v>53</v>
      </c>
      <c r="H21" s="1" t="s">
        <v>42</v>
      </c>
      <c r="I21" s="2" t="s">
        <v>22</v>
      </c>
      <c r="J21" s="7" t="s">
        <v>61</v>
      </c>
      <c r="K21" s="7"/>
      <c r="L21" s="1">
        <v>6</v>
      </c>
      <c r="M21" s="1" t="s">
        <v>24</v>
      </c>
      <c r="N21" s="1">
        <v>140</v>
      </c>
      <c r="O21" s="1" t="s">
        <v>43</v>
      </c>
      <c r="P21" s="1" t="s">
        <v>44</v>
      </c>
      <c r="Q21" s="1" t="str">
        <f t="shared" si="1"/>
        <v>100% Polyester Filament 6 MM Round Drawstring 140 CM White</v>
      </c>
      <c r="R21" s="1" t="s">
        <v>54</v>
      </c>
      <c r="S21" s="1"/>
    </row>
    <row r="22" spans="2:19" ht="15.5" x14ac:dyDescent="0.35">
      <c r="B22" s="1" t="s">
        <v>18</v>
      </c>
      <c r="C22" s="1"/>
      <c r="D22" s="2">
        <v>2006</v>
      </c>
      <c r="E22" s="2" t="s">
        <v>59</v>
      </c>
      <c r="F22" s="3" t="s">
        <v>19</v>
      </c>
      <c r="G22" s="1" t="s">
        <v>53</v>
      </c>
      <c r="H22" s="1" t="s">
        <v>42</v>
      </c>
      <c r="I22" s="2" t="s">
        <v>22</v>
      </c>
      <c r="J22" s="7" t="s">
        <v>61</v>
      </c>
      <c r="K22" s="7"/>
      <c r="L22" s="1">
        <v>6</v>
      </c>
      <c r="M22" s="1" t="s">
        <v>24</v>
      </c>
      <c r="N22" s="1">
        <v>150</v>
      </c>
      <c r="O22" s="1" t="s">
        <v>43</v>
      </c>
      <c r="P22" s="1" t="s">
        <v>44</v>
      </c>
      <c r="Q22" s="1" t="str">
        <f t="shared" si="1"/>
        <v>100% Polyester Filament 6 MM Round Drawstring 150 CM White</v>
      </c>
      <c r="R22" s="1" t="s">
        <v>55</v>
      </c>
      <c r="S22" s="1"/>
    </row>
    <row r="23" spans="2:19" s="14" customFormat="1" ht="15.5" x14ac:dyDescent="0.35">
      <c r="B23" s="9" t="s">
        <v>18</v>
      </c>
      <c r="C23" s="9"/>
      <c r="D23" s="10">
        <v>2006</v>
      </c>
      <c r="E23" s="10" t="s">
        <v>59</v>
      </c>
      <c r="F23" s="11" t="s">
        <v>19</v>
      </c>
      <c r="G23" s="9" t="s">
        <v>53</v>
      </c>
      <c r="H23" s="9" t="s">
        <v>42</v>
      </c>
      <c r="I23" s="10" t="s">
        <v>22</v>
      </c>
      <c r="J23" s="12" t="s">
        <v>61</v>
      </c>
      <c r="K23" s="12"/>
      <c r="L23" s="9">
        <v>6</v>
      </c>
      <c r="M23" s="9" t="s">
        <v>24</v>
      </c>
      <c r="N23" s="9">
        <v>160</v>
      </c>
      <c r="O23" s="9" t="s">
        <v>43</v>
      </c>
      <c r="P23" s="9" t="s">
        <v>44</v>
      </c>
      <c r="Q23" s="9" t="str">
        <f t="shared" si="1"/>
        <v>100% Polyester Filament 6 MM Round Drawstring 160 CM White</v>
      </c>
      <c r="R23" s="9" t="s">
        <v>56</v>
      </c>
      <c r="S23" s="9"/>
    </row>
    <row r="24" spans="2:19" ht="15.5" x14ac:dyDescent="0.35">
      <c r="B24" s="1" t="s">
        <v>18</v>
      </c>
      <c r="C24" s="1"/>
      <c r="D24" s="2">
        <v>2006</v>
      </c>
      <c r="E24" s="2" t="s">
        <v>59</v>
      </c>
      <c r="F24" s="3" t="s">
        <v>19</v>
      </c>
      <c r="G24" s="1" t="s">
        <v>53</v>
      </c>
      <c r="H24" s="1" t="s">
        <v>42</v>
      </c>
      <c r="I24" s="2" t="s">
        <v>22</v>
      </c>
      <c r="J24" s="7" t="s">
        <v>61</v>
      </c>
      <c r="K24" s="7"/>
      <c r="L24" s="1">
        <v>6</v>
      </c>
      <c r="M24" s="1" t="s">
        <v>24</v>
      </c>
      <c r="N24" s="1">
        <v>170</v>
      </c>
      <c r="O24" s="1" t="s">
        <v>43</v>
      </c>
      <c r="P24" s="1" t="s">
        <v>44</v>
      </c>
      <c r="Q24" s="1" t="str">
        <f t="shared" si="1"/>
        <v>100% Polyester Filament 6 MM Round Drawstring 170 CM White</v>
      </c>
      <c r="R24" s="1" t="s">
        <v>57</v>
      </c>
      <c r="S24" s="1"/>
    </row>
    <row r="25" spans="2:19" ht="15.5" x14ac:dyDescent="0.35">
      <c r="B25" s="1" t="s">
        <v>18</v>
      </c>
      <c r="C25" s="1"/>
      <c r="D25" s="2">
        <v>2006</v>
      </c>
      <c r="E25" s="2" t="s">
        <v>59</v>
      </c>
      <c r="F25" s="3" t="s">
        <v>19</v>
      </c>
      <c r="G25" s="1" t="s">
        <v>53</v>
      </c>
      <c r="H25" s="1" t="s">
        <v>42</v>
      </c>
      <c r="I25" s="2" t="s">
        <v>22</v>
      </c>
      <c r="J25" s="7" t="s">
        <v>61</v>
      </c>
      <c r="K25" s="7"/>
      <c r="L25" s="1">
        <v>6</v>
      </c>
      <c r="M25" s="1" t="s">
        <v>24</v>
      </c>
      <c r="N25" s="1">
        <v>180</v>
      </c>
      <c r="O25" s="1" t="s">
        <v>43</v>
      </c>
      <c r="P25" s="1" t="s">
        <v>44</v>
      </c>
      <c r="Q25" s="1" t="str">
        <f t="shared" si="1"/>
        <v>100% Polyester Filament 6 MM Round Drawstring 180 CM White</v>
      </c>
      <c r="R25" s="1" t="s">
        <v>58</v>
      </c>
      <c r="S25" s="1"/>
    </row>
    <row r="26" spans="2:19" ht="15.5" x14ac:dyDescent="0.35">
      <c r="B26" s="1"/>
      <c r="C26" s="1"/>
      <c r="D26" s="2"/>
      <c r="E26" s="2"/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2:19" ht="15.5" x14ac:dyDescent="0.35">
      <c r="B27" s="1"/>
      <c r="C27" s="1"/>
      <c r="D27" s="2"/>
      <c r="E27" s="2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ht="15.5" x14ac:dyDescent="0.35">
      <c r="B28" s="1"/>
      <c r="C28" s="1"/>
      <c r="D28" s="2"/>
      <c r="E28" s="2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ht="15.5" x14ac:dyDescent="0.35">
      <c r="B29" s="1"/>
      <c r="C29" s="1"/>
      <c r="D29" s="2"/>
      <c r="E29" s="2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ht="15.5" x14ac:dyDescent="0.35">
      <c r="B30" s="1"/>
      <c r="C30" s="1"/>
      <c r="D30" s="2"/>
      <c r="E30" s="2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ht="15.5" x14ac:dyDescent="0.35">
      <c r="B31" s="1"/>
      <c r="C31" s="1"/>
      <c r="D31" s="2"/>
      <c r="E31" s="2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ht="15.5" x14ac:dyDescent="0.35">
      <c r="B32" s="1"/>
      <c r="C32" s="1"/>
      <c r="D32" s="2"/>
      <c r="E32" s="2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</sheetData>
  <conditionalFormatting sqref="Q1:Q1048576">
    <cfRule type="duplicateValues" dxfId="11" priority="4"/>
  </conditionalFormatting>
  <conditionalFormatting sqref="Q16:Q20">
    <cfRule type="duplicateValues" dxfId="10" priority="6"/>
    <cfRule type="duplicateValues" dxfId="9" priority="12"/>
  </conditionalFormatting>
  <conditionalFormatting sqref="R1:R1048576">
    <cfRule type="duplicateValues" dxfId="8" priority="3"/>
  </conditionalFormatting>
  <conditionalFormatting sqref="R16">
    <cfRule type="duplicateValues" dxfId="7" priority="11"/>
  </conditionalFormatting>
  <conditionalFormatting sqref="R16:R20">
    <cfRule type="duplicateValues" dxfId="6" priority="5"/>
  </conditionalFormatting>
  <conditionalFormatting sqref="R17">
    <cfRule type="duplicateValues" dxfId="5" priority="10"/>
  </conditionalFormatting>
  <conditionalFormatting sqref="R18">
    <cfRule type="duplicateValues" dxfId="4" priority="9"/>
  </conditionalFormatting>
  <conditionalFormatting sqref="R19">
    <cfRule type="duplicateValues" dxfId="3" priority="7"/>
  </conditionalFormatting>
  <conditionalFormatting sqref="R20">
    <cfRule type="duplicateValues" dxfId="2" priority="8"/>
  </conditionalFormatting>
  <conditionalFormatting sqref="Q7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Shofiq-ERP</dc:creator>
  <cp:lastModifiedBy>Didar</cp:lastModifiedBy>
  <dcterms:created xsi:type="dcterms:W3CDTF">2015-06-05T18:17:20Z</dcterms:created>
  <dcterms:modified xsi:type="dcterms:W3CDTF">2025-08-17T12:29:17Z</dcterms:modified>
</cp:coreProperties>
</file>