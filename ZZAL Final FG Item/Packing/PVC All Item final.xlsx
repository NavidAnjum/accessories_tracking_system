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ZAL Final FG Item\Packing\"/>
    </mc:Choice>
  </mc:AlternateContent>
  <xr:revisionPtr revIDLastSave="0" documentId="13_ncr:1_{2A3A9568-0061-48CE-B545-98BF665733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VC" sheetId="3" r:id="rId1"/>
  </sheets>
  <definedNames>
    <definedName name="_xlnm._FilterDatabase" localSheetId="0" hidden="1">PVC!$B$1:$V$1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2" i="3"/>
  <c r="T2" i="3"/>
  <c r="T33" i="3" l="1"/>
  <c r="T34" i="3"/>
  <c r="T35" i="3"/>
  <c r="T36" i="3"/>
  <c r="T37" i="3"/>
  <c r="T38" i="3"/>
  <c r="T39" i="3"/>
  <c r="T40" i="3"/>
  <c r="T41" i="3"/>
  <c r="T42" i="3"/>
  <c r="T29" i="3" l="1"/>
  <c r="T30" i="3"/>
  <c r="T31" i="3"/>
  <c r="T32" i="3"/>
  <c r="T19" i="3" l="1"/>
  <c r="T20" i="3"/>
  <c r="T21" i="3"/>
  <c r="T22" i="3"/>
  <c r="T23" i="3"/>
  <c r="T24" i="3"/>
  <c r="T25" i="3"/>
  <c r="T26" i="3"/>
  <c r="T27" i="3"/>
  <c r="T28" i="3"/>
  <c r="T18" i="3" l="1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2C359251-A98E-4A58-BBC1-9DDD557E768B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L1" authorId="0" shapeId="0" xr:uid="{571AF1DF-C4FD-431C-AF43-5E28DF001835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M1" authorId="0" shapeId="0" xr:uid="{0C9C0EFA-818A-4E07-9B00-41A43551C24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O1" authorId="0" shapeId="0" xr:uid="{F8527619-5398-4033-8270-C3CA95809747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P1" authorId="0" shapeId="0" xr:uid="{CDDFE5E5-10D3-425B-A0FF-4F4757A291F2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Q1" authorId="0" shapeId="0" xr:uid="{3D52C1CA-43C2-4F2F-8930-D655E9F46AED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R1" authorId="0" shapeId="0" xr:uid="{3F79BA66-098A-4018-AC86-2FD65A38A9E3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</commentList>
</comments>
</file>

<file path=xl/sharedStrings.xml><?xml version="1.0" encoding="utf-8"?>
<sst xmlns="http://schemas.openxmlformats.org/spreadsheetml/2006/main" count="483" uniqueCount="94">
  <si>
    <t>UOM</t>
  </si>
  <si>
    <t>PVC</t>
  </si>
  <si>
    <t>2001.00017199.0001.0000.0000.0000</t>
  </si>
  <si>
    <t>2001.00023381.0001.0000.0000.0000</t>
  </si>
  <si>
    <t>2001.00023949.0001.0000.0000.0000</t>
  </si>
  <si>
    <t>2001.00031636.0001.0000.0000.0000</t>
  </si>
  <si>
    <t>2001.00034251.0001.0000.0000.0000</t>
  </si>
  <si>
    <t>2001.00034551.0001.0000.0000.0000</t>
  </si>
  <si>
    <t>2001.00034623.0001.0000.0000.0000</t>
  </si>
  <si>
    <t>2001.00034797.0001.0000.0000.0000</t>
  </si>
  <si>
    <t>2001.00035003.0001.0000.0000.0000</t>
  </si>
  <si>
    <t>2001.00035256.0001.0000.0000.0000</t>
  </si>
  <si>
    <t>2001.00036634.0001.0000.0000.0000</t>
  </si>
  <si>
    <t>2001.00036635.0001.0000.0000.0000</t>
  </si>
  <si>
    <t>2001.00036636.0001.0000.0000.0000</t>
  </si>
  <si>
    <t>2001.00036637.0001.0000.0000.0000</t>
  </si>
  <si>
    <t>2001.00036638.0001.0000.0000.0000</t>
  </si>
  <si>
    <t>2001.00038820.0001.0000.0000.0000</t>
  </si>
  <si>
    <t>2001.00038821.0001.0000.0000.0000</t>
  </si>
  <si>
    <t>NG Item Categories
Major Categories</t>
  </si>
  <si>
    <t>Major 
Categories ID</t>
  </si>
  <si>
    <t>Item Prefix</t>
  </si>
  <si>
    <t>Item  Prefix
Descriptions</t>
  </si>
  <si>
    <t>Status / Quality</t>
  </si>
  <si>
    <t>Color / Shade</t>
  </si>
  <si>
    <t>FG UOM</t>
  </si>
  <si>
    <t>Prodcut Name</t>
  </si>
  <si>
    <t>Printing 
Status</t>
  </si>
  <si>
    <t>Additional Requirement</t>
  </si>
  <si>
    <t>Length</t>
  </si>
  <si>
    <t>Width</t>
  </si>
  <si>
    <t>Height</t>
  </si>
  <si>
    <t>Gusset</t>
  </si>
  <si>
    <t>Flap</t>
  </si>
  <si>
    <t>Thickness
(Micron)</t>
  </si>
  <si>
    <t>Item Desc</t>
  </si>
  <si>
    <t>Note</t>
  </si>
  <si>
    <t>Packing</t>
  </si>
  <si>
    <t>PCS</t>
  </si>
  <si>
    <t>Non Printed</t>
  </si>
  <si>
    <t>CM</t>
  </si>
  <si>
    <t>MM</t>
  </si>
  <si>
    <t>Inch</t>
  </si>
  <si>
    <t>PVC POLY BAG</t>
  </si>
  <si>
    <t>6+6+6</t>
  </si>
  <si>
    <t>Pvc Bag</t>
  </si>
  <si>
    <t>5+5+5</t>
  </si>
  <si>
    <t>6.25+6.25+6.25</t>
  </si>
  <si>
    <t>7.5+7.5+7.5</t>
  </si>
  <si>
    <t>8.5+8.5+8.5</t>
  </si>
  <si>
    <t>9+9+9</t>
  </si>
  <si>
    <t>11.5+11.5+11.5</t>
  </si>
  <si>
    <t xml:space="preserve">Pocket </t>
  </si>
  <si>
    <t>3.5+3.5+3.5</t>
  </si>
  <si>
    <t>4.5+4.5+4.5</t>
  </si>
  <si>
    <t>None</t>
  </si>
  <si>
    <t>Manufactured</t>
  </si>
  <si>
    <t>Card Poly</t>
  </si>
  <si>
    <t>Printed</t>
  </si>
  <si>
    <t>PVC Bag</t>
  </si>
  <si>
    <t>INCH</t>
  </si>
  <si>
    <t>2001.00017205.0001.0000.0000.0000</t>
  </si>
  <si>
    <t>2001.00017747.0001.0000.0000.0000</t>
  </si>
  <si>
    <t>2001.00033200.0001.0000.0000.0000</t>
  </si>
  <si>
    <t>2001.00033201.0001.0000.0000.0000</t>
  </si>
  <si>
    <t>2001.00034649.0001.0000.0000.0000</t>
  </si>
  <si>
    <t>2001.00037459.0001.0000.0000.0000</t>
  </si>
  <si>
    <t>2001.00017182.0001.0000.0000.0000</t>
  </si>
  <si>
    <t>2001.00022236.0001.0000.0000.0000</t>
  </si>
  <si>
    <t>2001.00039165.0005.0000.0000.0000</t>
  </si>
  <si>
    <t>2001.00039204.0005.0000.0000.0000</t>
  </si>
  <si>
    <t>2001.00034556.0001.0000.0000.0000</t>
  </si>
  <si>
    <t>2001.00034590.0001.0000.0000.0000</t>
  </si>
  <si>
    <t>2001.00017278.0001.0000.0000.0000</t>
  </si>
  <si>
    <t>2001.00017306.0001.0000.0000.0000</t>
  </si>
  <si>
    <t>2001.00034548.0001.0000.0000.0000</t>
  </si>
  <si>
    <t>2001.00039059.0005.0000.0000.0000</t>
  </si>
  <si>
    <t>PE Zipper Bag</t>
  </si>
  <si>
    <t>D.Hanger</t>
  </si>
  <si>
    <t>PVC Hanger Bag</t>
  </si>
  <si>
    <t>Hanger</t>
  </si>
  <si>
    <t>Cm</t>
  </si>
  <si>
    <t>2001.00012945.0001.0000.0000.0000</t>
  </si>
  <si>
    <t>2001.00017183.0001.0000.0000.0000</t>
  </si>
  <si>
    <t>2001.00021011.0001.0000.0000.0000</t>
  </si>
  <si>
    <t>2001.00033222.0001.0000.0000.0000</t>
  </si>
  <si>
    <t>2001.00034557.0001.0000.0000.0000</t>
  </si>
  <si>
    <t>2001.00034558.0001.0000.0000.0000</t>
  </si>
  <si>
    <t>2001.00034650.0001.0000.0000.0000</t>
  </si>
  <si>
    <t>Without Pocket</t>
  </si>
  <si>
    <t>ZIPPER BAG</t>
  </si>
  <si>
    <t>PVC HANGER BAG</t>
  </si>
  <si>
    <t>Seg-2</t>
  </si>
  <si>
    <t>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</si>
</sst>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4" fillId="2" borderId="3" xfId="0" applyFont="1" applyFill="1" applyBorder="1" applyAlignment="1">
      <alignment horizontal="justify" wrapText="1"/>
    </xf>
    <xf numFmtId="0" fontId="0" fillId="0" borderId="2" xfId="0" applyBorder="1"/>
    <xf numFmtId="0" fontId="4" fillId="2" borderId="4" xfId="0" applyFont="1" applyFill="1" applyBorder="1" applyAlignment="1">
      <alignment horizontal="justify" wrapText="1"/>
    </xf>
    <xf numFmtId="0" fontId="4" fillId="2" borderId="1" xfId="0" applyFont="1" applyFill="1" applyBorder="1" applyAlignment="1">
      <alignment horizontal="justify" wrapText="1"/>
    </xf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/>
    <xf numFmtId="0" fontId="3" fillId="3" borderId="2" xfId="0" applyFont="1" applyFill="1" applyBorder="1"/>
    <xf numFmtId="0" fontId="7" fillId="3" borderId="1" xfId="0" applyFont="1" applyFill="1" applyBorder="1"/>
    <xf numFmtId="0" fontId="8" fillId="4" borderId="1" xfId="0" applyFont="1" applyFill="1" applyBorder="1"/>
    <xf numFmtId="0" fontId="7" fillId="3" borderId="2" xfId="0" applyFont="1" applyFill="1" applyBorder="1"/>
    <xf numFmtId="0" fontId="8" fillId="4" borderId="2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justify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justify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04DE-D937-4C89-9F36-A3A68AA32DAB}">
  <dimension ref="B1:V42"/>
  <sheetViews>
    <sheetView tabSelected="1" topLeftCell="S1" zoomScale="85" zoomScaleNormal="85" workbookViewId="0">
      <pane ySplit="1" topLeftCell="A2" activePane="bottomLeft" state="frozen"/>
      <selection activeCell="N1" sqref="N1"/>
      <selection pane="bottomLeft" activeCell="Y2" sqref="Y2"/>
    </sheetView>
  </sheetViews>
  <sheetFormatPr defaultRowHeight="14.5" x14ac:dyDescent="0.35"/>
  <cols>
    <col min="2" max="2" width="16.1796875" style="9" bestFit="1" customWidth="1"/>
    <col min="3" max="3" width="18" bestFit="1" customWidth="1"/>
    <col min="4" max="4" width="9.453125" bestFit="1" customWidth="1"/>
    <col min="5" max="5" width="10.36328125" style="6" bestFit="1" customWidth="1"/>
    <col min="6" max="6" width="13.08984375" customWidth="1"/>
    <col min="7" max="7" width="6.1796875" bestFit="1" customWidth="1"/>
    <col min="8" max="8" width="7.81640625" bestFit="1" customWidth="1"/>
    <col min="9" max="9" width="13.36328125" customWidth="1"/>
    <col min="10" max="10" width="11.7265625" bestFit="1" customWidth="1"/>
    <col min="11" max="11" width="15.36328125" bestFit="1" customWidth="1"/>
    <col min="12" max="12" width="6.26953125" bestFit="1" customWidth="1"/>
    <col min="13" max="13" width="6.08984375" bestFit="1" customWidth="1"/>
    <col min="14" max="14" width="6.1796875" bestFit="1" customWidth="1"/>
    <col min="15" max="15" width="13.81640625" style="9" bestFit="1" customWidth="1"/>
    <col min="16" max="16" width="7.26953125" customWidth="1"/>
    <col min="19" max="19" width="12.90625" customWidth="1"/>
    <col min="20" max="20" width="64.453125" customWidth="1"/>
    <col min="21" max="21" width="24.1796875" bestFit="1" customWidth="1"/>
    <col min="22" max="22" width="65.1796875" bestFit="1" customWidth="1"/>
  </cols>
  <sheetData>
    <row r="1" spans="2:22" ht="25" customHeight="1" x14ac:dyDescent="0.35">
      <c r="B1" s="25" t="s">
        <v>19</v>
      </c>
      <c r="C1" s="26" t="s">
        <v>20</v>
      </c>
      <c r="D1" s="26" t="s">
        <v>21</v>
      </c>
      <c r="E1" s="27" t="s">
        <v>22</v>
      </c>
      <c r="F1" s="28" t="s">
        <v>23</v>
      </c>
      <c r="G1" s="28" t="s">
        <v>24</v>
      </c>
      <c r="H1" s="27" t="s">
        <v>25</v>
      </c>
      <c r="I1" s="26" t="s">
        <v>26</v>
      </c>
      <c r="J1" s="27" t="s">
        <v>27</v>
      </c>
      <c r="K1" s="27" t="s">
        <v>28</v>
      </c>
      <c r="L1" s="26" t="s">
        <v>29</v>
      </c>
      <c r="M1" s="26" t="s">
        <v>30</v>
      </c>
      <c r="N1" s="26" t="s">
        <v>31</v>
      </c>
      <c r="O1" s="29" t="s">
        <v>32</v>
      </c>
      <c r="P1" s="26" t="s">
        <v>33</v>
      </c>
      <c r="Q1" s="27" t="s">
        <v>0</v>
      </c>
      <c r="R1" s="27" t="s">
        <v>34</v>
      </c>
      <c r="S1" s="27" t="s">
        <v>0</v>
      </c>
      <c r="T1" s="26" t="s">
        <v>35</v>
      </c>
      <c r="U1" s="27" t="s">
        <v>36</v>
      </c>
      <c r="V1" s="30" t="s">
        <v>92</v>
      </c>
    </row>
    <row r="2" spans="2:22" ht="15.5" x14ac:dyDescent="0.35">
      <c r="B2" s="7" t="s">
        <v>1</v>
      </c>
      <c r="C2" s="1">
        <v>95</v>
      </c>
      <c r="D2" s="1">
        <v>2001</v>
      </c>
      <c r="E2" s="10" t="s">
        <v>37</v>
      </c>
      <c r="F2" s="1" t="s">
        <v>56</v>
      </c>
      <c r="G2" s="1" t="s">
        <v>55</v>
      </c>
      <c r="H2" s="1" t="s">
        <v>38</v>
      </c>
      <c r="I2" s="1" t="s">
        <v>59</v>
      </c>
      <c r="J2" s="1" t="s">
        <v>39</v>
      </c>
      <c r="K2" s="1" t="s">
        <v>89</v>
      </c>
      <c r="L2" s="1">
        <v>34</v>
      </c>
      <c r="M2" s="1">
        <v>21.5</v>
      </c>
      <c r="N2" s="1"/>
      <c r="O2" s="7">
        <v>4.5</v>
      </c>
      <c r="P2" s="1"/>
      <c r="Q2" s="1" t="s">
        <v>40</v>
      </c>
      <c r="R2" s="1">
        <v>9</v>
      </c>
      <c r="S2" s="1" t="s">
        <v>41</v>
      </c>
      <c r="T2" s="1" t="str">
        <f>CONCATENATE(J2," ",I2," ",R2," ",S2," ",L2,"X",M2,"X",N2,"+",O2,"+",P2," ",Q2," ",K2)</f>
        <v>Non Printed PVC Bag 9 MM 34X21.5X+4.5+ CM Without Pocket</v>
      </c>
      <c r="U2" s="2" t="s">
        <v>2</v>
      </c>
      <c r="V2" t="str">
        <f>CONCATENATE(I2," ",K2," ",L2,"x",M2,"x",N2,"+",O2,"+",P2," ",Q2," ",J2," ",R2," ",S2)</f>
        <v>PVC Bag Without Pocket 34x21.5x+4.5+ CM Non Printed 9 MM</v>
      </c>
    </row>
    <row r="3" spans="2:22" ht="15.5" x14ac:dyDescent="0.35">
      <c r="B3" s="7" t="s">
        <v>1</v>
      </c>
      <c r="C3" s="1">
        <v>95</v>
      </c>
      <c r="D3" s="1">
        <v>2001</v>
      </c>
      <c r="E3" s="10" t="s">
        <v>37</v>
      </c>
      <c r="F3" s="1" t="s">
        <v>56</v>
      </c>
      <c r="G3" s="1" t="s">
        <v>55</v>
      </c>
      <c r="H3" s="1" t="s">
        <v>38</v>
      </c>
      <c r="I3" s="1" t="s">
        <v>59</v>
      </c>
      <c r="J3" s="1" t="s">
        <v>39</v>
      </c>
      <c r="K3" s="1" t="s">
        <v>89</v>
      </c>
      <c r="L3" s="1">
        <v>28</v>
      </c>
      <c r="M3" s="1">
        <v>14.75</v>
      </c>
      <c r="N3" s="1"/>
      <c r="O3" s="7"/>
      <c r="P3" s="1"/>
      <c r="Q3" s="1" t="s">
        <v>40</v>
      </c>
      <c r="R3" s="1">
        <v>9</v>
      </c>
      <c r="S3" s="1" t="s">
        <v>41</v>
      </c>
      <c r="T3" s="1" t="str">
        <f t="shared" ref="T2:T42" si="0">CONCATENATE(J3," ",I3," ",R3," ",S3," ",L3,"X",M3,"X",N3,"+",O3,"+",P3," ",Q3," ",K3)</f>
        <v>Non Printed PVC Bag 9 MM 28X14.75X++ CM Without Pocket</v>
      </c>
      <c r="U3" s="2" t="s">
        <v>3</v>
      </c>
      <c r="V3" t="str">
        <f t="shared" ref="V3:V42" si="1">CONCATENATE(I3," ",K3," ",L3,"x",M3,"x",N3,"+",O3,"+",P3," ",Q3," ",J3," ",R3," ",S3)</f>
        <v>PVC Bag Without Pocket 28x14.75x++ CM Non Printed 9 MM</v>
      </c>
    </row>
    <row r="4" spans="2:22" ht="15.5" x14ac:dyDescent="0.35">
      <c r="B4" s="7" t="s">
        <v>1</v>
      </c>
      <c r="C4" s="1">
        <v>95</v>
      </c>
      <c r="D4" s="1">
        <v>2001</v>
      </c>
      <c r="E4" s="10" t="s">
        <v>37</v>
      </c>
      <c r="F4" s="1" t="s">
        <v>56</v>
      </c>
      <c r="G4" s="1" t="s">
        <v>55</v>
      </c>
      <c r="H4" s="1" t="s">
        <v>38</v>
      </c>
      <c r="I4" s="1" t="s">
        <v>57</v>
      </c>
      <c r="J4" s="1" t="s">
        <v>39</v>
      </c>
      <c r="K4" s="1" t="s">
        <v>89</v>
      </c>
      <c r="L4" s="1">
        <v>10</v>
      </c>
      <c r="M4" s="1">
        <v>6.5</v>
      </c>
      <c r="N4" s="1"/>
      <c r="O4" s="7"/>
      <c r="P4" s="1"/>
      <c r="Q4" s="1" t="s">
        <v>42</v>
      </c>
      <c r="R4" s="1">
        <v>9</v>
      </c>
      <c r="S4" s="1" t="s">
        <v>41</v>
      </c>
      <c r="T4" s="1" t="str">
        <f t="shared" si="0"/>
        <v>Non Printed Card Poly 9 MM 10X6.5X++ Inch Without Pocket</v>
      </c>
      <c r="U4" s="2" t="s">
        <v>4</v>
      </c>
      <c r="V4" t="str">
        <f t="shared" si="1"/>
        <v>Card Poly Without Pocket 10x6.5x++ Inch Non Printed 9 MM</v>
      </c>
    </row>
    <row r="5" spans="2:22" ht="15.5" x14ac:dyDescent="0.35">
      <c r="B5" s="7" t="s">
        <v>1</v>
      </c>
      <c r="C5" s="1">
        <v>95</v>
      </c>
      <c r="D5" s="1">
        <v>2001</v>
      </c>
      <c r="E5" s="10" t="s">
        <v>37</v>
      </c>
      <c r="F5" s="1" t="s">
        <v>56</v>
      </c>
      <c r="G5" s="1" t="s">
        <v>55</v>
      </c>
      <c r="H5" s="1" t="s">
        <v>38</v>
      </c>
      <c r="I5" s="1" t="s">
        <v>43</v>
      </c>
      <c r="J5" s="1" t="s">
        <v>58</v>
      </c>
      <c r="K5" s="1" t="s">
        <v>89</v>
      </c>
      <c r="L5" s="1">
        <v>34.5</v>
      </c>
      <c r="M5" s="1">
        <v>28.5</v>
      </c>
      <c r="N5" s="1"/>
      <c r="O5" s="20" t="s">
        <v>44</v>
      </c>
      <c r="P5" s="1">
        <v>13</v>
      </c>
      <c r="Q5" s="1" t="s">
        <v>40</v>
      </c>
      <c r="R5" s="1">
        <v>15</v>
      </c>
      <c r="S5" s="1" t="s">
        <v>41</v>
      </c>
      <c r="T5" s="1" t="str">
        <f t="shared" si="0"/>
        <v>Printed PVC POLY BAG 15 MM 34.5X28.5X+6+6+6+13 CM Without Pocket</v>
      </c>
      <c r="U5" s="2" t="s">
        <v>5</v>
      </c>
      <c r="V5" t="str">
        <f t="shared" si="1"/>
        <v>PVC POLY BAG Without Pocket 34.5x28.5x+6+6+6+13 CM Printed 15 MM</v>
      </c>
    </row>
    <row r="6" spans="2:22" ht="15.5" x14ac:dyDescent="0.35">
      <c r="B6" s="7" t="s">
        <v>1</v>
      </c>
      <c r="C6" s="1">
        <v>95</v>
      </c>
      <c r="D6" s="1">
        <v>2001</v>
      </c>
      <c r="E6" s="10" t="s">
        <v>37</v>
      </c>
      <c r="F6" s="1" t="s">
        <v>56</v>
      </c>
      <c r="G6" s="1" t="s">
        <v>55</v>
      </c>
      <c r="H6" s="1" t="s">
        <v>38</v>
      </c>
      <c r="I6" s="1" t="s">
        <v>45</v>
      </c>
      <c r="J6" s="1" t="s">
        <v>39</v>
      </c>
      <c r="K6" s="1" t="s">
        <v>89</v>
      </c>
      <c r="L6" s="1">
        <v>34</v>
      </c>
      <c r="M6" s="1">
        <v>22.75</v>
      </c>
      <c r="N6" s="1"/>
      <c r="O6" s="20">
        <v>4.75</v>
      </c>
      <c r="P6" s="1"/>
      <c r="Q6" s="1" t="s">
        <v>40</v>
      </c>
      <c r="R6" s="1">
        <v>15</v>
      </c>
      <c r="S6" s="1" t="s">
        <v>41</v>
      </c>
      <c r="T6" s="1" t="str">
        <f t="shared" si="0"/>
        <v>Non Printed Pvc Bag 15 MM 34X22.75X+4.75+ CM Without Pocket</v>
      </c>
      <c r="U6" s="2" t="s">
        <v>6</v>
      </c>
      <c r="V6" t="str">
        <f t="shared" si="1"/>
        <v>Pvc Bag Without Pocket 34x22.75x+4.75+ CM Non Printed 15 MM</v>
      </c>
    </row>
    <row r="7" spans="2:22" s="6" customFormat="1" ht="15.5" x14ac:dyDescent="0.35">
      <c r="B7" s="21" t="s">
        <v>1</v>
      </c>
      <c r="C7" s="22">
        <v>95</v>
      </c>
      <c r="D7" s="22">
        <v>2001</v>
      </c>
      <c r="E7" s="10" t="s">
        <v>37</v>
      </c>
      <c r="F7" s="22" t="s">
        <v>56</v>
      </c>
      <c r="G7" s="22" t="s">
        <v>55</v>
      </c>
      <c r="H7" s="22" t="s">
        <v>38</v>
      </c>
      <c r="I7" s="22" t="s">
        <v>45</v>
      </c>
      <c r="J7" s="22" t="s">
        <v>39</v>
      </c>
      <c r="K7" s="1" t="s">
        <v>89</v>
      </c>
      <c r="L7" s="22">
        <v>38</v>
      </c>
      <c r="M7" s="22">
        <v>24.5</v>
      </c>
      <c r="N7" s="22"/>
      <c r="O7" s="23">
        <v>5.75</v>
      </c>
      <c r="P7" s="22"/>
      <c r="Q7" s="22" t="s">
        <v>40</v>
      </c>
      <c r="R7" s="22">
        <v>15</v>
      </c>
      <c r="S7" s="22" t="s">
        <v>41</v>
      </c>
      <c r="T7" s="22" t="str">
        <f t="shared" si="0"/>
        <v>Non Printed Pvc Bag 15 MM 38X24.5X+5.75+ CM Without Pocket</v>
      </c>
      <c r="U7" s="24" t="s">
        <v>7</v>
      </c>
      <c r="V7" t="str">
        <f t="shared" si="1"/>
        <v>Pvc Bag Without Pocket 38x24.5x+5.75+ CM Non Printed 15 MM</v>
      </c>
    </row>
    <row r="8" spans="2:22" ht="15.5" x14ac:dyDescent="0.35">
      <c r="B8" s="7" t="s">
        <v>1</v>
      </c>
      <c r="C8" s="1">
        <v>95</v>
      </c>
      <c r="D8" s="1">
        <v>2001</v>
      </c>
      <c r="E8" s="10" t="s">
        <v>37</v>
      </c>
      <c r="F8" s="1" t="s">
        <v>56</v>
      </c>
      <c r="G8" s="1" t="s">
        <v>55</v>
      </c>
      <c r="H8" s="1" t="s">
        <v>38</v>
      </c>
      <c r="I8" s="1" t="s">
        <v>45</v>
      </c>
      <c r="J8" s="1" t="s">
        <v>39</v>
      </c>
      <c r="K8" s="1" t="s">
        <v>89</v>
      </c>
      <c r="L8" s="1">
        <v>38</v>
      </c>
      <c r="M8" s="1">
        <v>26</v>
      </c>
      <c r="N8" s="1"/>
      <c r="O8" s="20">
        <v>6.5</v>
      </c>
      <c r="P8" s="1"/>
      <c r="Q8" s="1" t="s">
        <v>40</v>
      </c>
      <c r="R8" s="1">
        <v>15</v>
      </c>
      <c r="S8" s="1" t="s">
        <v>41</v>
      </c>
      <c r="T8" s="1" t="str">
        <f t="shared" si="0"/>
        <v>Non Printed Pvc Bag 15 MM 38X26X+6.5+ CM Without Pocket</v>
      </c>
      <c r="U8" s="2" t="s">
        <v>8</v>
      </c>
      <c r="V8" t="str">
        <f t="shared" si="1"/>
        <v>Pvc Bag Without Pocket 38x26x+6.5+ CM Non Printed 15 MM</v>
      </c>
    </row>
    <row r="9" spans="2:22" ht="15.5" x14ac:dyDescent="0.35">
      <c r="B9" s="7" t="s">
        <v>1</v>
      </c>
      <c r="C9" s="1">
        <v>95</v>
      </c>
      <c r="D9" s="1">
        <v>2001</v>
      </c>
      <c r="E9" s="10" t="s">
        <v>37</v>
      </c>
      <c r="F9" s="1" t="s">
        <v>56</v>
      </c>
      <c r="G9" s="1" t="s">
        <v>55</v>
      </c>
      <c r="H9" s="1" t="s">
        <v>38</v>
      </c>
      <c r="I9" s="1" t="s">
        <v>45</v>
      </c>
      <c r="J9" s="1" t="s">
        <v>39</v>
      </c>
      <c r="K9" s="1" t="s">
        <v>89</v>
      </c>
      <c r="L9" s="1">
        <v>34</v>
      </c>
      <c r="M9" s="1">
        <v>22.5</v>
      </c>
      <c r="N9" s="1"/>
      <c r="O9" s="20">
        <v>4.75</v>
      </c>
      <c r="P9" s="1"/>
      <c r="Q9" s="1" t="s">
        <v>40</v>
      </c>
      <c r="R9" s="1">
        <v>9</v>
      </c>
      <c r="S9" s="1" t="s">
        <v>41</v>
      </c>
      <c r="T9" s="1" t="str">
        <f t="shared" si="0"/>
        <v>Non Printed Pvc Bag 9 MM 34X22.5X+4.75+ CM Without Pocket</v>
      </c>
      <c r="U9" s="2" t="s">
        <v>9</v>
      </c>
      <c r="V9" t="str">
        <f t="shared" si="1"/>
        <v>Pvc Bag Without Pocket 34x22.5x+4.75+ CM Non Printed 9 MM</v>
      </c>
    </row>
    <row r="10" spans="2:22" ht="15.5" x14ac:dyDescent="0.35">
      <c r="B10" s="7" t="s">
        <v>1</v>
      </c>
      <c r="C10" s="1">
        <v>95</v>
      </c>
      <c r="D10" s="1">
        <v>2001</v>
      </c>
      <c r="E10" s="10" t="s">
        <v>37</v>
      </c>
      <c r="F10" s="1" t="s">
        <v>56</v>
      </c>
      <c r="G10" s="1" t="s">
        <v>55</v>
      </c>
      <c r="H10" s="1" t="s">
        <v>38</v>
      </c>
      <c r="I10" s="1" t="s">
        <v>45</v>
      </c>
      <c r="J10" s="1" t="s">
        <v>39</v>
      </c>
      <c r="K10" s="1" t="s">
        <v>89</v>
      </c>
      <c r="L10" s="1">
        <v>38</v>
      </c>
      <c r="M10" s="1">
        <v>24</v>
      </c>
      <c r="N10" s="1"/>
      <c r="O10" s="20">
        <v>5.75</v>
      </c>
      <c r="P10" s="1"/>
      <c r="Q10" s="1" t="s">
        <v>40</v>
      </c>
      <c r="R10" s="1">
        <v>15</v>
      </c>
      <c r="S10" s="1" t="s">
        <v>41</v>
      </c>
      <c r="T10" s="1" t="str">
        <f t="shared" si="0"/>
        <v>Non Printed Pvc Bag 15 MM 38X24X+5.75+ CM Without Pocket</v>
      </c>
      <c r="U10" s="2" t="s">
        <v>10</v>
      </c>
      <c r="V10" t="str">
        <f t="shared" si="1"/>
        <v>Pvc Bag Without Pocket 38x24x+5.75+ CM Non Printed 15 MM</v>
      </c>
    </row>
    <row r="11" spans="2:22" ht="15.5" x14ac:dyDescent="0.35">
      <c r="B11" s="7" t="s">
        <v>1</v>
      </c>
      <c r="C11" s="1">
        <v>95</v>
      </c>
      <c r="D11" s="1">
        <v>2001</v>
      </c>
      <c r="E11" s="10" t="s">
        <v>37</v>
      </c>
      <c r="F11" s="1" t="s">
        <v>56</v>
      </c>
      <c r="G11" s="1" t="s">
        <v>55</v>
      </c>
      <c r="H11" s="1" t="s">
        <v>38</v>
      </c>
      <c r="I11" s="1" t="s">
        <v>45</v>
      </c>
      <c r="J11" s="1" t="s">
        <v>58</v>
      </c>
      <c r="K11" s="1" t="s">
        <v>89</v>
      </c>
      <c r="L11" s="1">
        <v>34.5</v>
      </c>
      <c r="M11" s="1">
        <v>28</v>
      </c>
      <c r="N11" s="1"/>
      <c r="O11" s="7" t="s">
        <v>46</v>
      </c>
      <c r="P11" s="1">
        <v>11</v>
      </c>
      <c r="Q11" s="1" t="s">
        <v>40</v>
      </c>
      <c r="R11" s="1">
        <v>15</v>
      </c>
      <c r="S11" s="1" t="s">
        <v>41</v>
      </c>
      <c r="T11" s="1" t="str">
        <f t="shared" si="0"/>
        <v>Printed Pvc Bag 15 MM 34.5X28X+5+5+5+11 CM Without Pocket</v>
      </c>
      <c r="U11" s="2" t="s">
        <v>11</v>
      </c>
      <c r="V11" t="str">
        <f t="shared" si="1"/>
        <v>Pvc Bag Without Pocket 34.5x28x+5+5+5+11 CM Printed 15 MM</v>
      </c>
    </row>
    <row r="12" spans="2:22" ht="15.5" x14ac:dyDescent="0.35">
      <c r="B12" s="7" t="s">
        <v>1</v>
      </c>
      <c r="C12" s="1">
        <v>95</v>
      </c>
      <c r="D12" s="1">
        <v>2001</v>
      </c>
      <c r="E12" s="10" t="s">
        <v>37</v>
      </c>
      <c r="F12" s="1" t="s">
        <v>56</v>
      </c>
      <c r="G12" s="1" t="s">
        <v>55</v>
      </c>
      <c r="H12" s="1" t="s">
        <v>38</v>
      </c>
      <c r="I12" s="1" t="s">
        <v>45</v>
      </c>
      <c r="J12" s="1" t="s">
        <v>39</v>
      </c>
      <c r="K12" s="1" t="s">
        <v>89</v>
      </c>
      <c r="L12" s="1">
        <v>33</v>
      </c>
      <c r="M12" s="1">
        <v>30</v>
      </c>
      <c r="N12" s="1"/>
      <c r="O12" s="7" t="s">
        <v>47</v>
      </c>
      <c r="P12" s="1">
        <v>16</v>
      </c>
      <c r="Q12" s="1" t="s">
        <v>40</v>
      </c>
      <c r="R12" s="1">
        <v>15</v>
      </c>
      <c r="S12" s="1" t="s">
        <v>41</v>
      </c>
      <c r="T12" s="1" t="str">
        <f t="shared" si="0"/>
        <v>Non Printed Pvc Bag 15 MM 33X30X+6.25+6.25+6.25+16 CM Without Pocket</v>
      </c>
      <c r="U12" s="2" t="s">
        <v>12</v>
      </c>
      <c r="V12" t="str">
        <f t="shared" si="1"/>
        <v>Pvc Bag Without Pocket 33x30x+6.25+6.25+6.25+16 CM Non Printed 15 MM</v>
      </c>
    </row>
    <row r="13" spans="2:22" ht="15.5" x14ac:dyDescent="0.35">
      <c r="B13" s="7" t="s">
        <v>1</v>
      </c>
      <c r="C13" s="1">
        <v>95</v>
      </c>
      <c r="D13" s="1">
        <v>2001</v>
      </c>
      <c r="E13" s="10" t="s">
        <v>37</v>
      </c>
      <c r="F13" s="1" t="s">
        <v>56</v>
      </c>
      <c r="G13" s="1" t="s">
        <v>55</v>
      </c>
      <c r="H13" s="1" t="s">
        <v>38</v>
      </c>
      <c r="I13" s="1" t="s">
        <v>45</v>
      </c>
      <c r="J13" s="1" t="s">
        <v>39</v>
      </c>
      <c r="K13" s="1" t="s">
        <v>89</v>
      </c>
      <c r="L13" s="1">
        <v>33</v>
      </c>
      <c r="M13" s="1">
        <v>30</v>
      </c>
      <c r="N13" s="1"/>
      <c r="O13" s="7" t="s">
        <v>48</v>
      </c>
      <c r="P13" s="1">
        <v>17</v>
      </c>
      <c r="Q13" s="1" t="s">
        <v>40</v>
      </c>
      <c r="R13" s="1">
        <v>15</v>
      </c>
      <c r="S13" s="1" t="s">
        <v>41</v>
      </c>
      <c r="T13" s="1" t="str">
        <f t="shared" si="0"/>
        <v>Non Printed Pvc Bag 15 MM 33X30X+7.5+7.5+7.5+17 CM Without Pocket</v>
      </c>
      <c r="U13" s="2" t="s">
        <v>13</v>
      </c>
      <c r="V13" t="str">
        <f t="shared" si="1"/>
        <v>Pvc Bag Without Pocket 33x30x+7.5+7.5+7.5+17 CM Non Printed 15 MM</v>
      </c>
    </row>
    <row r="14" spans="2:22" ht="15.5" x14ac:dyDescent="0.35">
      <c r="B14" s="7" t="s">
        <v>1</v>
      </c>
      <c r="C14" s="1">
        <v>95</v>
      </c>
      <c r="D14" s="1">
        <v>2001</v>
      </c>
      <c r="E14" s="10" t="s">
        <v>37</v>
      </c>
      <c r="F14" s="1" t="s">
        <v>56</v>
      </c>
      <c r="G14" s="1" t="s">
        <v>55</v>
      </c>
      <c r="H14" s="1" t="s">
        <v>38</v>
      </c>
      <c r="I14" s="1" t="s">
        <v>45</v>
      </c>
      <c r="J14" s="1" t="s">
        <v>39</v>
      </c>
      <c r="K14" s="1" t="s">
        <v>89</v>
      </c>
      <c r="L14" s="1">
        <v>33</v>
      </c>
      <c r="M14" s="1">
        <v>30</v>
      </c>
      <c r="N14" s="1"/>
      <c r="O14" s="7" t="s">
        <v>49</v>
      </c>
      <c r="P14" s="1">
        <v>18</v>
      </c>
      <c r="Q14" s="1" t="s">
        <v>40</v>
      </c>
      <c r="R14" s="1">
        <v>15</v>
      </c>
      <c r="S14" s="1" t="s">
        <v>41</v>
      </c>
      <c r="T14" s="1" t="str">
        <f t="shared" si="0"/>
        <v>Non Printed Pvc Bag 15 MM 33X30X+8.5+8.5+8.5+18 CM Without Pocket</v>
      </c>
      <c r="U14" s="2" t="s">
        <v>14</v>
      </c>
      <c r="V14" t="str">
        <f t="shared" si="1"/>
        <v>Pvc Bag Without Pocket 33x30x+8.5+8.5+8.5+18 CM Non Printed 15 MM</v>
      </c>
    </row>
    <row r="15" spans="2:22" ht="15.5" x14ac:dyDescent="0.35">
      <c r="B15" s="7" t="s">
        <v>1</v>
      </c>
      <c r="C15" s="1">
        <v>95</v>
      </c>
      <c r="D15" s="1">
        <v>2001</v>
      </c>
      <c r="E15" s="10" t="s">
        <v>37</v>
      </c>
      <c r="F15" s="1" t="s">
        <v>56</v>
      </c>
      <c r="G15" s="1" t="s">
        <v>55</v>
      </c>
      <c r="H15" s="1" t="s">
        <v>38</v>
      </c>
      <c r="I15" s="1" t="s">
        <v>45</v>
      </c>
      <c r="J15" s="1" t="s">
        <v>39</v>
      </c>
      <c r="K15" s="1" t="s">
        <v>89</v>
      </c>
      <c r="L15" s="1">
        <v>33</v>
      </c>
      <c r="M15" s="1">
        <v>30</v>
      </c>
      <c r="N15" s="1"/>
      <c r="O15" s="7" t="s">
        <v>50</v>
      </c>
      <c r="P15" s="1">
        <v>19</v>
      </c>
      <c r="Q15" s="1" t="s">
        <v>40</v>
      </c>
      <c r="R15" s="1">
        <v>15</v>
      </c>
      <c r="S15" s="1" t="s">
        <v>41</v>
      </c>
      <c r="T15" s="1" t="str">
        <f t="shared" si="0"/>
        <v>Non Printed Pvc Bag 15 MM 33X30X+9+9+9+19 CM Without Pocket</v>
      </c>
      <c r="U15" s="2" t="s">
        <v>15</v>
      </c>
      <c r="V15" t="str">
        <f t="shared" si="1"/>
        <v>Pvc Bag Without Pocket 33x30x+9+9+9+19 CM Non Printed 15 MM</v>
      </c>
    </row>
    <row r="16" spans="2:22" ht="15.5" x14ac:dyDescent="0.35">
      <c r="B16" s="7" t="s">
        <v>1</v>
      </c>
      <c r="C16" s="3">
        <v>95</v>
      </c>
      <c r="D16" s="3">
        <v>2001</v>
      </c>
      <c r="E16" s="11" t="s">
        <v>37</v>
      </c>
      <c r="F16" s="1" t="s">
        <v>56</v>
      </c>
      <c r="G16" s="1" t="s">
        <v>55</v>
      </c>
      <c r="H16" s="3" t="s">
        <v>38</v>
      </c>
      <c r="I16" s="3" t="s">
        <v>45</v>
      </c>
      <c r="J16" s="3" t="s">
        <v>39</v>
      </c>
      <c r="K16" s="1" t="s">
        <v>89</v>
      </c>
      <c r="L16" s="3">
        <v>33</v>
      </c>
      <c r="M16" s="3">
        <v>30</v>
      </c>
      <c r="N16" s="3"/>
      <c r="O16" s="8" t="s">
        <v>51</v>
      </c>
      <c r="P16" s="3">
        <v>21</v>
      </c>
      <c r="Q16" s="3" t="s">
        <v>40</v>
      </c>
      <c r="R16" s="3">
        <v>15</v>
      </c>
      <c r="S16" s="3" t="s">
        <v>41</v>
      </c>
      <c r="T16" s="1" t="str">
        <f t="shared" si="0"/>
        <v>Non Printed Pvc Bag 15 MM 33X30X+11.5+11.5+11.5+21 CM Without Pocket</v>
      </c>
      <c r="U16" s="4" t="s">
        <v>16</v>
      </c>
      <c r="V16" t="str">
        <f t="shared" si="1"/>
        <v>Pvc Bag Without Pocket 33x30x+11.5+11.5+11.5+21 CM Non Printed 15 MM</v>
      </c>
    </row>
    <row r="17" spans="2:22" ht="15.5" x14ac:dyDescent="0.35">
      <c r="B17" s="7" t="s">
        <v>1</v>
      </c>
      <c r="C17" s="1">
        <v>95</v>
      </c>
      <c r="D17" s="1">
        <v>2001</v>
      </c>
      <c r="E17" s="10" t="s">
        <v>37</v>
      </c>
      <c r="F17" s="1" t="s">
        <v>56</v>
      </c>
      <c r="G17" s="1" t="s">
        <v>55</v>
      </c>
      <c r="H17" s="1" t="s">
        <v>38</v>
      </c>
      <c r="I17" s="1" t="s">
        <v>45</v>
      </c>
      <c r="J17" s="1" t="s">
        <v>39</v>
      </c>
      <c r="K17" s="1" t="s">
        <v>93</v>
      </c>
      <c r="L17" s="1">
        <v>33</v>
      </c>
      <c r="M17" s="1">
        <v>30</v>
      </c>
      <c r="N17" s="1"/>
      <c r="O17" s="7" t="s">
        <v>53</v>
      </c>
      <c r="P17" s="1">
        <v>10</v>
      </c>
      <c r="Q17" s="1" t="s">
        <v>40</v>
      </c>
      <c r="R17" s="1">
        <v>15</v>
      </c>
      <c r="S17" s="1" t="s">
        <v>41</v>
      </c>
      <c r="T17" s="1" t="str">
        <f t="shared" si="0"/>
        <v>Non Printed Pvc Bag 15 MM 33X30X+3.5+3.5+3.5+10 CM Pocket</v>
      </c>
      <c r="U17" s="5" t="s">
        <v>17</v>
      </c>
      <c r="V17" t="str">
        <f t="shared" si="1"/>
        <v>Pvc Bag Pocket 33x30x+3.5+3.5+3.5+10 CM Non Printed 15 MM</v>
      </c>
    </row>
    <row r="18" spans="2:22" ht="15.5" x14ac:dyDescent="0.35">
      <c r="B18" s="7" t="s">
        <v>1</v>
      </c>
      <c r="C18" s="1">
        <v>95</v>
      </c>
      <c r="D18" s="1">
        <v>2001</v>
      </c>
      <c r="E18" s="10" t="s">
        <v>37</v>
      </c>
      <c r="F18" s="1" t="s">
        <v>56</v>
      </c>
      <c r="G18" s="1" t="s">
        <v>55</v>
      </c>
      <c r="H18" s="1" t="s">
        <v>38</v>
      </c>
      <c r="I18" s="1" t="s">
        <v>45</v>
      </c>
      <c r="J18" s="1" t="s">
        <v>39</v>
      </c>
      <c r="K18" s="1" t="s">
        <v>52</v>
      </c>
      <c r="L18" s="1">
        <v>33</v>
      </c>
      <c r="M18" s="1">
        <v>30</v>
      </c>
      <c r="N18" s="1"/>
      <c r="O18" s="7" t="s">
        <v>54</v>
      </c>
      <c r="P18" s="1">
        <v>12</v>
      </c>
      <c r="Q18" s="1" t="s">
        <v>40</v>
      </c>
      <c r="R18" s="1">
        <v>15</v>
      </c>
      <c r="S18" s="1" t="s">
        <v>41</v>
      </c>
      <c r="T18" s="1" t="str">
        <f t="shared" si="0"/>
        <v xml:space="preserve">Non Printed Pvc Bag 15 MM 33X30X+4.5+4.5+4.5+12 CM Pocket </v>
      </c>
      <c r="U18" s="5" t="s">
        <v>18</v>
      </c>
      <c r="V18" t="str">
        <f t="shared" si="1"/>
        <v>Pvc Bag Pocket  33x30x+4.5+4.5+4.5+12 CM Non Printed 15 MM</v>
      </c>
    </row>
    <row r="19" spans="2:22" ht="15.5" x14ac:dyDescent="0.35">
      <c r="B19" s="16" t="s">
        <v>1</v>
      </c>
      <c r="C19" s="12">
        <v>95</v>
      </c>
      <c r="D19" s="12">
        <v>2001</v>
      </c>
      <c r="E19" s="13" t="s">
        <v>37</v>
      </c>
      <c r="F19" s="1" t="s">
        <v>56</v>
      </c>
      <c r="G19" s="1" t="s">
        <v>55</v>
      </c>
      <c r="H19" s="12" t="s">
        <v>38</v>
      </c>
      <c r="I19" s="12" t="s">
        <v>45</v>
      </c>
      <c r="J19" s="12" t="s">
        <v>39</v>
      </c>
      <c r="K19" s="12" t="s">
        <v>89</v>
      </c>
      <c r="L19" s="12">
        <v>34</v>
      </c>
      <c r="M19" s="12">
        <v>22</v>
      </c>
      <c r="N19" s="12"/>
      <c r="O19" s="12">
        <v>4.5</v>
      </c>
      <c r="P19" s="12"/>
      <c r="Q19" s="12" t="s">
        <v>40</v>
      </c>
      <c r="R19" s="12">
        <v>9</v>
      </c>
      <c r="S19" s="12" t="s">
        <v>41</v>
      </c>
      <c r="T19" s="1" t="str">
        <f t="shared" si="0"/>
        <v>Non Printed Pvc Bag 9 MM 34X22X+4.5+ CM Without Pocket</v>
      </c>
      <c r="U19" s="18" t="s">
        <v>61</v>
      </c>
      <c r="V19" t="str">
        <f t="shared" si="1"/>
        <v>Pvc Bag Without Pocket 34x22x+4.5+ CM Non Printed 9 MM</v>
      </c>
    </row>
    <row r="20" spans="2:22" ht="15.5" x14ac:dyDescent="0.35">
      <c r="B20" s="16" t="s">
        <v>1</v>
      </c>
      <c r="C20" s="12">
        <v>95</v>
      </c>
      <c r="D20" s="12">
        <v>2001</v>
      </c>
      <c r="E20" s="13" t="s">
        <v>37</v>
      </c>
      <c r="F20" s="1" t="s">
        <v>56</v>
      </c>
      <c r="G20" s="1" t="s">
        <v>55</v>
      </c>
      <c r="H20" s="12" t="s">
        <v>38</v>
      </c>
      <c r="I20" s="12" t="s">
        <v>90</v>
      </c>
      <c r="J20" s="12" t="s">
        <v>39</v>
      </c>
      <c r="K20" s="12" t="s">
        <v>52</v>
      </c>
      <c r="L20" s="12">
        <v>38</v>
      </c>
      <c r="M20" s="12">
        <v>44</v>
      </c>
      <c r="N20" s="12"/>
      <c r="O20" s="12">
        <v>10</v>
      </c>
      <c r="P20" s="12"/>
      <c r="Q20" s="12" t="s">
        <v>40</v>
      </c>
      <c r="R20" s="12">
        <v>14</v>
      </c>
      <c r="S20" s="12" t="s">
        <v>41</v>
      </c>
      <c r="T20" s="1" t="str">
        <f t="shared" si="0"/>
        <v xml:space="preserve">Non Printed ZIPPER BAG 14 MM 38X44X+10+ CM Pocket </v>
      </c>
      <c r="U20" s="18" t="s">
        <v>62</v>
      </c>
      <c r="V20" t="str">
        <f t="shared" si="1"/>
        <v>ZIPPER BAG Pocket  38x44x+10+ CM Non Printed 14 MM</v>
      </c>
    </row>
    <row r="21" spans="2:22" ht="15.5" x14ac:dyDescent="0.35">
      <c r="B21" s="16" t="s">
        <v>1</v>
      </c>
      <c r="C21" s="12">
        <v>95</v>
      </c>
      <c r="D21" s="12">
        <v>2001</v>
      </c>
      <c r="E21" s="13" t="s">
        <v>37</v>
      </c>
      <c r="F21" s="1" t="s">
        <v>56</v>
      </c>
      <c r="G21" s="1" t="s">
        <v>55</v>
      </c>
      <c r="H21" s="12" t="s">
        <v>38</v>
      </c>
      <c r="I21" s="12" t="s">
        <v>45</v>
      </c>
      <c r="J21" s="12" t="s">
        <v>39</v>
      </c>
      <c r="K21" s="12" t="s">
        <v>89</v>
      </c>
      <c r="L21" s="12">
        <v>45</v>
      </c>
      <c r="M21" s="12">
        <v>34</v>
      </c>
      <c r="N21" s="12"/>
      <c r="O21" s="12">
        <v>6.25</v>
      </c>
      <c r="P21" s="12"/>
      <c r="Q21" s="12" t="s">
        <v>40</v>
      </c>
      <c r="R21" s="12">
        <v>9</v>
      </c>
      <c r="S21" s="12" t="s">
        <v>41</v>
      </c>
      <c r="T21" s="1" t="str">
        <f t="shared" si="0"/>
        <v>Non Printed Pvc Bag 9 MM 45X34X+6.25+ CM Without Pocket</v>
      </c>
      <c r="U21" s="18" t="s">
        <v>64</v>
      </c>
      <c r="V21" t="str">
        <f t="shared" si="1"/>
        <v>Pvc Bag Without Pocket 45x34x+6.25+ CM Non Printed 9 MM</v>
      </c>
    </row>
    <row r="22" spans="2:22" ht="15.5" x14ac:dyDescent="0.35">
      <c r="B22" s="16" t="s">
        <v>1</v>
      </c>
      <c r="C22" s="12">
        <v>95</v>
      </c>
      <c r="D22" s="12">
        <v>2001</v>
      </c>
      <c r="E22" s="13" t="s">
        <v>37</v>
      </c>
      <c r="F22" s="1" t="s">
        <v>56</v>
      </c>
      <c r="G22" s="1" t="s">
        <v>55</v>
      </c>
      <c r="H22" s="12" t="s">
        <v>38</v>
      </c>
      <c r="I22" s="12" t="s">
        <v>45</v>
      </c>
      <c r="J22" s="12" t="s">
        <v>39</v>
      </c>
      <c r="K22" s="12" t="s">
        <v>89</v>
      </c>
      <c r="L22" s="12">
        <v>28</v>
      </c>
      <c r="M22" s="12">
        <v>16.25</v>
      </c>
      <c r="N22" s="12"/>
      <c r="O22" s="12"/>
      <c r="P22" s="12"/>
      <c r="Q22" s="12" t="s">
        <v>40</v>
      </c>
      <c r="R22" s="12">
        <v>9</v>
      </c>
      <c r="S22" s="12" t="s">
        <v>41</v>
      </c>
      <c r="T22" s="1" t="str">
        <f t="shared" si="0"/>
        <v>Non Printed Pvc Bag 9 MM 28X16.25X++ CM Without Pocket</v>
      </c>
      <c r="U22" s="18" t="s">
        <v>66</v>
      </c>
      <c r="V22" t="str">
        <f t="shared" si="1"/>
        <v>Pvc Bag Without Pocket 28x16.25x++ CM Non Printed 9 MM</v>
      </c>
    </row>
    <row r="23" spans="2:22" ht="15.5" x14ac:dyDescent="0.35">
      <c r="B23" s="16" t="s">
        <v>1</v>
      </c>
      <c r="C23" s="12">
        <v>95</v>
      </c>
      <c r="D23" s="12">
        <v>2001</v>
      </c>
      <c r="E23" s="13" t="s">
        <v>37</v>
      </c>
      <c r="F23" s="1" t="s">
        <v>56</v>
      </c>
      <c r="G23" s="1" t="s">
        <v>55</v>
      </c>
      <c r="H23" s="12" t="s">
        <v>38</v>
      </c>
      <c r="I23" s="12" t="s">
        <v>45</v>
      </c>
      <c r="J23" s="12" t="s">
        <v>39</v>
      </c>
      <c r="K23" s="12" t="s">
        <v>89</v>
      </c>
      <c r="L23" s="12">
        <v>28</v>
      </c>
      <c r="M23" s="12">
        <v>14.5</v>
      </c>
      <c r="N23" s="12"/>
      <c r="O23" s="12"/>
      <c r="P23" s="12"/>
      <c r="Q23" s="12" t="s">
        <v>40</v>
      </c>
      <c r="R23" s="12">
        <v>15</v>
      </c>
      <c r="S23" s="12" t="s">
        <v>41</v>
      </c>
      <c r="T23" s="1" t="str">
        <f t="shared" si="0"/>
        <v>Non Printed Pvc Bag 15 MM 28X14.5X++ CM Without Pocket</v>
      </c>
      <c r="U23" s="18" t="s">
        <v>67</v>
      </c>
      <c r="V23" t="str">
        <f t="shared" si="1"/>
        <v>Pvc Bag Without Pocket 28x14.5x++ CM Non Printed 15 MM</v>
      </c>
    </row>
    <row r="24" spans="2:22" ht="15.5" x14ac:dyDescent="0.35">
      <c r="B24" s="16" t="s">
        <v>1</v>
      </c>
      <c r="C24" s="12">
        <v>95</v>
      </c>
      <c r="D24" s="12">
        <v>2001</v>
      </c>
      <c r="E24" s="13" t="s">
        <v>37</v>
      </c>
      <c r="F24" s="1" t="s">
        <v>56</v>
      </c>
      <c r="G24" s="1" t="s">
        <v>55</v>
      </c>
      <c r="H24" s="12" t="s">
        <v>38</v>
      </c>
      <c r="I24" s="12" t="s">
        <v>45</v>
      </c>
      <c r="J24" s="12" t="s">
        <v>39</v>
      </c>
      <c r="K24" s="12" t="s">
        <v>89</v>
      </c>
      <c r="L24" s="12">
        <v>36</v>
      </c>
      <c r="M24" s="12">
        <v>23.5</v>
      </c>
      <c r="N24" s="12"/>
      <c r="O24" s="12">
        <v>5.25</v>
      </c>
      <c r="P24" s="12"/>
      <c r="Q24" s="12" t="s">
        <v>40</v>
      </c>
      <c r="R24" s="12">
        <v>15</v>
      </c>
      <c r="S24" s="12" t="s">
        <v>41</v>
      </c>
      <c r="T24" s="1" t="str">
        <f t="shared" si="0"/>
        <v>Non Printed Pvc Bag 15 MM 36X23.5X+5.25+ CM Without Pocket</v>
      </c>
      <c r="U24" s="18" t="s">
        <v>68</v>
      </c>
      <c r="V24" t="str">
        <f t="shared" si="1"/>
        <v>Pvc Bag Without Pocket 36x23.5x+5.25+ CM Non Printed 15 MM</v>
      </c>
    </row>
    <row r="25" spans="2:22" ht="15.5" x14ac:dyDescent="0.35">
      <c r="B25" s="16" t="s">
        <v>1</v>
      </c>
      <c r="C25" s="12">
        <v>95</v>
      </c>
      <c r="D25" s="12">
        <v>2001</v>
      </c>
      <c r="E25" s="13" t="s">
        <v>37</v>
      </c>
      <c r="F25" s="1" t="s">
        <v>56</v>
      </c>
      <c r="G25" s="1" t="s">
        <v>55</v>
      </c>
      <c r="H25" s="12" t="s">
        <v>38</v>
      </c>
      <c r="I25" s="12" t="s">
        <v>45</v>
      </c>
      <c r="J25" s="12" t="s">
        <v>39</v>
      </c>
      <c r="K25" s="12" t="s">
        <v>89</v>
      </c>
      <c r="L25" s="12">
        <v>27</v>
      </c>
      <c r="M25" s="12">
        <v>18</v>
      </c>
      <c r="N25" s="12" t="s">
        <v>53</v>
      </c>
      <c r="O25" s="12">
        <v>8</v>
      </c>
      <c r="P25" s="12"/>
      <c r="Q25" s="12" t="s">
        <v>40</v>
      </c>
      <c r="R25" s="12">
        <v>15</v>
      </c>
      <c r="S25" s="12" t="s">
        <v>41</v>
      </c>
      <c r="T25" s="1" t="str">
        <f t="shared" si="0"/>
        <v>Non Printed Pvc Bag 15 MM 27X18X3.5+3.5+3.5+8+ CM Without Pocket</v>
      </c>
      <c r="U25" s="18" t="s">
        <v>69</v>
      </c>
      <c r="V25" t="str">
        <f t="shared" si="1"/>
        <v>Pvc Bag Without Pocket 27x18x3.5+3.5+3.5+8+ CM Non Printed 15 MM</v>
      </c>
    </row>
    <row r="26" spans="2:22" ht="15.5" x14ac:dyDescent="0.35">
      <c r="B26" s="16" t="s">
        <v>1</v>
      </c>
      <c r="C26" s="12">
        <v>95</v>
      </c>
      <c r="D26" s="12">
        <v>2001</v>
      </c>
      <c r="E26" s="13" t="s">
        <v>37</v>
      </c>
      <c r="F26" s="1" t="s">
        <v>56</v>
      </c>
      <c r="G26" s="1" t="s">
        <v>55</v>
      </c>
      <c r="H26" s="12" t="s">
        <v>38</v>
      </c>
      <c r="I26" s="12" t="s">
        <v>45</v>
      </c>
      <c r="J26" s="12" t="s">
        <v>39</v>
      </c>
      <c r="K26" s="12" t="s">
        <v>89</v>
      </c>
      <c r="L26" s="12">
        <v>36</v>
      </c>
      <c r="M26" s="12">
        <v>25.75</v>
      </c>
      <c r="N26" s="12">
        <v>2.75</v>
      </c>
      <c r="O26" s="12">
        <v>7</v>
      </c>
      <c r="P26" s="12"/>
      <c r="Q26" s="12" t="s">
        <v>40</v>
      </c>
      <c r="R26" s="12">
        <v>15</v>
      </c>
      <c r="S26" s="12" t="s">
        <v>41</v>
      </c>
      <c r="T26" s="1" t="str">
        <f t="shared" si="0"/>
        <v>Non Printed Pvc Bag 15 MM 36X25.75X2.75+7+ CM Without Pocket</v>
      </c>
      <c r="U26" s="18" t="s">
        <v>70</v>
      </c>
      <c r="V26" t="str">
        <f t="shared" si="1"/>
        <v>Pvc Bag Without Pocket 36x25.75x2.75+7+ CM Non Printed 15 MM</v>
      </c>
    </row>
    <row r="27" spans="2:22" ht="15.5" x14ac:dyDescent="0.35">
      <c r="B27" s="17" t="s">
        <v>1</v>
      </c>
      <c r="C27" s="14">
        <v>95</v>
      </c>
      <c r="D27" s="14">
        <v>2001</v>
      </c>
      <c r="E27" s="15" t="s">
        <v>37</v>
      </c>
      <c r="F27" s="1" t="s">
        <v>56</v>
      </c>
      <c r="G27" s="1" t="s">
        <v>55</v>
      </c>
      <c r="H27" s="14" t="s">
        <v>38</v>
      </c>
      <c r="I27" s="14" t="s">
        <v>45</v>
      </c>
      <c r="J27" s="14" t="s">
        <v>39</v>
      </c>
      <c r="K27" s="12" t="s">
        <v>89</v>
      </c>
      <c r="L27" s="14">
        <v>28</v>
      </c>
      <c r="M27" s="14">
        <v>14.75</v>
      </c>
      <c r="N27" s="14"/>
      <c r="O27" s="14">
        <v>1</v>
      </c>
      <c r="P27" s="14"/>
      <c r="Q27" s="14" t="s">
        <v>40</v>
      </c>
      <c r="R27" s="14">
        <v>15</v>
      </c>
      <c r="S27" s="14" t="s">
        <v>41</v>
      </c>
      <c r="T27" s="1" t="str">
        <f t="shared" si="0"/>
        <v>Non Printed Pvc Bag 15 MM 28X14.75X+1+ CM Without Pocket</v>
      </c>
      <c r="U27" s="18" t="s">
        <v>71</v>
      </c>
      <c r="V27" t="str">
        <f t="shared" si="1"/>
        <v>Pvc Bag Without Pocket 28x14.75x+1+ CM Non Printed 15 MM</v>
      </c>
    </row>
    <row r="28" spans="2:22" ht="15.5" x14ac:dyDescent="0.35">
      <c r="B28" s="16" t="s">
        <v>1</v>
      </c>
      <c r="C28" s="12">
        <v>95</v>
      </c>
      <c r="D28" s="12">
        <v>2001</v>
      </c>
      <c r="E28" s="13" t="s">
        <v>37</v>
      </c>
      <c r="F28" s="1" t="s">
        <v>56</v>
      </c>
      <c r="G28" s="1" t="s">
        <v>55</v>
      </c>
      <c r="H28" s="12" t="s">
        <v>38</v>
      </c>
      <c r="I28" s="12" t="s">
        <v>91</v>
      </c>
      <c r="J28" s="12" t="s">
        <v>39</v>
      </c>
      <c r="K28" s="12" t="s">
        <v>89</v>
      </c>
      <c r="L28" s="12">
        <v>9</v>
      </c>
      <c r="M28" s="12">
        <v>6.75</v>
      </c>
      <c r="N28" s="12"/>
      <c r="O28" s="12">
        <v>2.75</v>
      </c>
      <c r="P28" s="12"/>
      <c r="Q28" s="12" t="s">
        <v>60</v>
      </c>
      <c r="R28" s="12">
        <v>15</v>
      </c>
      <c r="S28" s="12" t="s">
        <v>41</v>
      </c>
      <c r="T28" s="1" t="str">
        <f t="shared" si="0"/>
        <v>Non Printed PVC HANGER BAG 15 MM 9X6.75X+2.75+ INCH Without Pocket</v>
      </c>
      <c r="U28" s="18" t="s">
        <v>72</v>
      </c>
      <c r="V28" t="str">
        <f t="shared" si="1"/>
        <v>PVC HANGER BAG Without Pocket 9x6.75x+2.75+ INCH Non Printed 15 MM</v>
      </c>
    </row>
    <row r="29" spans="2:22" ht="15.5" x14ac:dyDescent="0.35">
      <c r="B29" s="17" t="s">
        <v>1</v>
      </c>
      <c r="C29" s="14">
        <v>95</v>
      </c>
      <c r="D29" s="14">
        <v>2001</v>
      </c>
      <c r="E29" s="15" t="s">
        <v>37</v>
      </c>
      <c r="F29" s="12" t="s">
        <v>56</v>
      </c>
      <c r="G29" s="12" t="s">
        <v>55</v>
      </c>
      <c r="H29" s="14" t="s">
        <v>38</v>
      </c>
      <c r="I29" s="14" t="s">
        <v>45</v>
      </c>
      <c r="J29" s="14" t="s">
        <v>39</v>
      </c>
      <c r="K29" s="12" t="s">
        <v>89</v>
      </c>
      <c r="L29" s="12">
        <v>34</v>
      </c>
      <c r="M29" s="12">
        <v>22.5</v>
      </c>
      <c r="N29" s="12"/>
      <c r="O29" s="12">
        <v>4.75</v>
      </c>
      <c r="P29" s="12"/>
      <c r="Q29" s="12" t="s">
        <v>40</v>
      </c>
      <c r="R29" s="14">
        <v>15</v>
      </c>
      <c r="S29" s="14" t="s">
        <v>41</v>
      </c>
      <c r="T29" s="1" t="str">
        <f t="shared" si="0"/>
        <v>Non Printed Pvc Bag 15 MM 34X22.5X+4.75+ CM Without Pocket</v>
      </c>
      <c r="U29" s="5" t="s">
        <v>73</v>
      </c>
      <c r="V29" t="str">
        <f t="shared" si="1"/>
        <v>Pvc Bag Without Pocket 34x22.5x+4.75+ CM Non Printed 15 MM</v>
      </c>
    </row>
    <row r="30" spans="2:22" ht="15.5" x14ac:dyDescent="0.35">
      <c r="B30" s="17" t="s">
        <v>1</v>
      </c>
      <c r="C30" s="14">
        <v>95</v>
      </c>
      <c r="D30" s="14">
        <v>2001</v>
      </c>
      <c r="E30" s="15" t="s">
        <v>37</v>
      </c>
      <c r="F30" s="12" t="s">
        <v>56</v>
      </c>
      <c r="G30" s="12" t="s">
        <v>55</v>
      </c>
      <c r="H30" s="14" t="s">
        <v>38</v>
      </c>
      <c r="I30" s="14" t="s">
        <v>45</v>
      </c>
      <c r="J30" s="14" t="s">
        <v>39</v>
      </c>
      <c r="K30" s="12" t="s">
        <v>89</v>
      </c>
      <c r="L30" s="12">
        <v>28</v>
      </c>
      <c r="M30" s="12">
        <v>14.75</v>
      </c>
      <c r="N30" s="12"/>
      <c r="O30" s="12"/>
      <c r="P30" s="12"/>
      <c r="Q30" s="12" t="s">
        <v>40</v>
      </c>
      <c r="R30" s="14">
        <v>15</v>
      </c>
      <c r="S30" s="14" t="s">
        <v>41</v>
      </c>
      <c r="T30" s="1" t="str">
        <f t="shared" si="0"/>
        <v>Non Printed Pvc Bag 15 MM 28X14.75X++ CM Without Pocket</v>
      </c>
      <c r="U30" s="5" t="s">
        <v>74</v>
      </c>
      <c r="V30" t="str">
        <f t="shared" si="1"/>
        <v>Pvc Bag Without Pocket 28x14.75x++ CM Non Printed 15 MM</v>
      </c>
    </row>
    <row r="31" spans="2:22" ht="15.5" x14ac:dyDescent="0.35">
      <c r="B31" s="17" t="s">
        <v>1</v>
      </c>
      <c r="C31" s="14">
        <v>95</v>
      </c>
      <c r="D31" s="14">
        <v>2001</v>
      </c>
      <c r="E31" s="15" t="s">
        <v>37</v>
      </c>
      <c r="F31" s="12" t="s">
        <v>56</v>
      </c>
      <c r="G31" s="12" t="s">
        <v>55</v>
      </c>
      <c r="H31" s="14" t="s">
        <v>38</v>
      </c>
      <c r="I31" s="14" t="s">
        <v>45</v>
      </c>
      <c r="J31" s="14" t="s">
        <v>39</v>
      </c>
      <c r="K31" s="12" t="s">
        <v>89</v>
      </c>
      <c r="L31" s="14">
        <v>8.5</v>
      </c>
      <c r="M31" s="14">
        <v>6.5</v>
      </c>
      <c r="N31" s="14"/>
      <c r="O31" s="14">
        <v>2</v>
      </c>
      <c r="P31" s="14"/>
      <c r="Q31" s="14" t="s">
        <v>40</v>
      </c>
      <c r="R31" s="14">
        <v>15</v>
      </c>
      <c r="S31" s="14" t="s">
        <v>41</v>
      </c>
      <c r="T31" s="1" t="str">
        <f t="shared" si="0"/>
        <v>Non Printed Pvc Bag 15 MM 8.5X6.5X+2+ CM Without Pocket</v>
      </c>
      <c r="U31" s="5" t="s">
        <v>75</v>
      </c>
      <c r="V31" t="str">
        <f t="shared" si="1"/>
        <v>Pvc Bag Without Pocket 8.5x6.5x+2+ CM Non Printed 15 MM</v>
      </c>
    </row>
    <row r="32" spans="2:22" ht="15.5" x14ac:dyDescent="0.35">
      <c r="B32" s="16" t="s">
        <v>1</v>
      </c>
      <c r="C32" s="12">
        <v>95</v>
      </c>
      <c r="D32" s="12">
        <v>2001</v>
      </c>
      <c r="E32" s="13" t="s">
        <v>37</v>
      </c>
      <c r="F32" s="12" t="s">
        <v>56</v>
      </c>
      <c r="G32" s="12" t="s">
        <v>55</v>
      </c>
      <c r="H32" s="12" t="s">
        <v>38</v>
      </c>
      <c r="I32" s="12" t="s">
        <v>90</v>
      </c>
      <c r="J32" s="12" t="s">
        <v>39</v>
      </c>
      <c r="K32" s="12" t="s">
        <v>89</v>
      </c>
      <c r="L32" s="12">
        <v>17</v>
      </c>
      <c r="M32" s="12">
        <v>14</v>
      </c>
      <c r="N32" s="12"/>
      <c r="O32" s="12">
        <v>5</v>
      </c>
      <c r="P32" s="12"/>
      <c r="Q32" s="12" t="s">
        <v>60</v>
      </c>
      <c r="R32" s="12">
        <v>15</v>
      </c>
      <c r="S32" s="12" t="s">
        <v>41</v>
      </c>
      <c r="T32" s="1" t="str">
        <f t="shared" si="0"/>
        <v>Non Printed ZIPPER BAG 15 MM 17X14X+5+ INCH Without Pocket</v>
      </c>
      <c r="U32" s="5" t="s">
        <v>76</v>
      </c>
      <c r="V32" t="str">
        <f t="shared" si="1"/>
        <v>ZIPPER BAG Without Pocket 17x14x+5+ INCH Non Printed 15 MM</v>
      </c>
    </row>
    <row r="33" spans="2:22" ht="15.5" x14ac:dyDescent="0.35">
      <c r="B33" s="16" t="s">
        <v>1</v>
      </c>
      <c r="C33" s="1">
        <v>95</v>
      </c>
      <c r="D33" s="12">
        <v>2001</v>
      </c>
      <c r="E33" s="13" t="s">
        <v>37</v>
      </c>
      <c r="F33" s="1" t="s">
        <v>56</v>
      </c>
      <c r="G33" s="1" t="s">
        <v>55</v>
      </c>
      <c r="H33" s="1" t="s">
        <v>38</v>
      </c>
      <c r="I33" s="1" t="s">
        <v>77</v>
      </c>
      <c r="J33" s="1" t="s">
        <v>39</v>
      </c>
      <c r="K33" s="1" t="s">
        <v>78</v>
      </c>
      <c r="L33" s="1">
        <v>10</v>
      </c>
      <c r="M33" s="1">
        <v>6.5</v>
      </c>
      <c r="N33" s="1"/>
      <c r="O33" s="1"/>
      <c r="P33" s="1"/>
      <c r="Q33" s="1" t="s">
        <v>42</v>
      </c>
      <c r="R33" s="1">
        <v>15</v>
      </c>
      <c r="S33" s="1" t="s">
        <v>41</v>
      </c>
      <c r="T33" s="1" t="str">
        <f t="shared" si="0"/>
        <v>Non Printed PE Zipper Bag 15 MM 10X6.5X++ Inch D.Hanger</v>
      </c>
      <c r="U33" s="5" t="s">
        <v>82</v>
      </c>
      <c r="V33" t="str">
        <f t="shared" si="1"/>
        <v>PE Zipper Bag D.Hanger 10x6.5x++ Inch Non Printed 15 MM</v>
      </c>
    </row>
    <row r="34" spans="2:22" ht="15.5" x14ac:dyDescent="0.35">
      <c r="B34" s="16" t="s">
        <v>1</v>
      </c>
      <c r="C34" s="1">
        <v>95</v>
      </c>
      <c r="D34" s="12">
        <v>2001</v>
      </c>
      <c r="E34" s="13" t="s">
        <v>37</v>
      </c>
      <c r="F34" s="1" t="s">
        <v>56</v>
      </c>
      <c r="G34" s="1" t="s">
        <v>55</v>
      </c>
      <c r="H34" s="1" t="s">
        <v>38</v>
      </c>
      <c r="I34" s="1" t="s">
        <v>79</v>
      </c>
      <c r="J34" s="1" t="s">
        <v>39</v>
      </c>
      <c r="K34" s="1" t="s">
        <v>80</v>
      </c>
      <c r="L34" s="1">
        <v>14.75</v>
      </c>
      <c r="M34" s="1">
        <v>28</v>
      </c>
      <c r="N34" s="1"/>
      <c r="O34" s="1"/>
      <c r="P34" s="1"/>
      <c r="Q34" s="1" t="s">
        <v>40</v>
      </c>
      <c r="R34" s="1">
        <v>15</v>
      </c>
      <c r="S34" s="1" t="s">
        <v>41</v>
      </c>
      <c r="T34" s="1" t="str">
        <f t="shared" si="0"/>
        <v>Non Printed PVC Hanger Bag 15 MM 14.75X28X++ CM Hanger</v>
      </c>
      <c r="U34" s="5" t="s">
        <v>83</v>
      </c>
      <c r="V34" t="str">
        <f t="shared" si="1"/>
        <v>PVC Hanger Bag Hanger 14.75x28x++ CM Non Printed 15 MM</v>
      </c>
    </row>
    <row r="35" spans="2:22" ht="15.5" x14ac:dyDescent="0.35">
      <c r="B35" s="16" t="s">
        <v>1</v>
      </c>
      <c r="C35" s="1">
        <v>95</v>
      </c>
      <c r="D35" s="12">
        <v>2001</v>
      </c>
      <c r="E35" s="13" t="s">
        <v>37</v>
      </c>
      <c r="F35" s="1" t="s">
        <v>56</v>
      </c>
      <c r="G35" s="1" t="s">
        <v>55</v>
      </c>
      <c r="H35" s="1" t="s">
        <v>38</v>
      </c>
      <c r="I35" s="1" t="s">
        <v>59</v>
      </c>
      <c r="J35" s="1" t="s">
        <v>39</v>
      </c>
      <c r="K35" s="1" t="s">
        <v>89</v>
      </c>
      <c r="L35" s="1">
        <v>28</v>
      </c>
      <c r="M35" s="1">
        <v>29</v>
      </c>
      <c r="N35" s="1"/>
      <c r="O35" s="1">
        <v>4</v>
      </c>
      <c r="P35" s="1"/>
      <c r="Q35" s="1" t="s">
        <v>81</v>
      </c>
      <c r="R35" s="1">
        <v>15</v>
      </c>
      <c r="S35" s="1" t="s">
        <v>41</v>
      </c>
      <c r="T35" s="1" t="str">
        <f t="shared" si="0"/>
        <v>Non Printed PVC Bag 15 MM 28X29X+4+ Cm Without Pocket</v>
      </c>
      <c r="U35" s="5" t="s">
        <v>84</v>
      </c>
      <c r="V35" t="str">
        <f t="shared" si="1"/>
        <v>PVC Bag Without Pocket 28x29x+4+ Cm Non Printed 15 MM</v>
      </c>
    </row>
    <row r="36" spans="2:22" ht="15.5" x14ac:dyDescent="0.35">
      <c r="B36" s="16" t="s">
        <v>1</v>
      </c>
      <c r="C36" s="1">
        <v>95</v>
      </c>
      <c r="D36" s="12">
        <v>2001</v>
      </c>
      <c r="E36" s="13" t="s">
        <v>37</v>
      </c>
      <c r="F36" s="1" t="s">
        <v>56</v>
      </c>
      <c r="G36" s="1" t="s">
        <v>55</v>
      </c>
      <c r="H36" s="1" t="s">
        <v>38</v>
      </c>
      <c r="I36" s="1" t="s">
        <v>59</v>
      </c>
      <c r="J36" s="19" t="s">
        <v>39</v>
      </c>
      <c r="K36" s="1" t="s">
        <v>89</v>
      </c>
      <c r="L36" s="1">
        <v>42</v>
      </c>
      <c r="M36" s="1">
        <v>32</v>
      </c>
      <c r="N36" s="1">
        <v>5.25</v>
      </c>
      <c r="O36" s="1"/>
      <c r="P36" s="1"/>
      <c r="Q36" s="1" t="s">
        <v>81</v>
      </c>
      <c r="R36" s="1">
        <v>15</v>
      </c>
      <c r="S36" s="1" t="s">
        <v>41</v>
      </c>
      <c r="T36" s="1" t="str">
        <f t="shared" si="0"/>
        <v>Non Printed PVC Bag 15 MM 42X32X5.25++ Cm Without Pocket</v>
      </c>
      <c r="U36" s="5" t="s">
        <v>63</v>
      </c>
      <c r="V36" t="str">
        <f t="shared" si="1"/>
        <v>PVC Bag Without Pocket 42x32x5.25++ Cm Non Printed 15 MM</v>
      </c>
    </row>
    <row r="37" spans="2:22" ht="15.5" x14ac:dyDescent="0.35">
      <c r="B37" s="16" t="s">
        <v>1</v>
      </c>
      <c r="C37" s="1">
        <v>95</v>
      </c>
      <c r="D37" s="12">
        <v>2001</v>
      </c>
      <c r="E37" s="13" t="s">
        <v>37</v>
      </c>
      <c r="F37" s="1" t="s">
        <v>56</v>
      </c>
      <c r="G37" s="1" t="s">
        <v>55</v>
      </c>
      <c r="H37" s="1" t="s">
        <v>38</v>
      </c>
      <c r="I37" s="1" t="s">
        <v>59</v>
      </c>
      <c r="J37" s="1" t="s">
        <v>39</v>
      </c>
      <c r="K37" s="1" t="s">
        <v>89</v>
      </c>
      <c r="L37" s="1">
        <v>9</v>
      </c>
      <c r="M37" s="1">
        <v>6.75</v>
      </c>
      <c r="N37" s="1">
        <v>2.75</v>
      </c>
      <c r="O37" s="1"/>
      <c r="P37" s="1"/>
      <c r="Q37" s="1" t="s">
        <v>81</v>
      </c>
      <c r="R37" s="1">
        <v>15</v>
      </c>
      <c r="S37" s="1" t="s">
        <v>41</v>
      </c>
      <c r="T37" s="1" t="str">
        <f t="shared" si="0"/>
        <v>Non Printed PVC Bag 15 MM 9X6.75X2.75++ Cm Without Pocket</v>
      </c>
      <c r="U37" s="5" t="s">
        <v>85</v>
      </c>
      <c r="V37" t="str">
        <f t="shared" si="1"/>
        <v>PVC Bag Without Pocket 9x6.75x2.75++ Cm Non Printed 15 MM</v>
      </c>
    </row>
    <row r="38" spans="2:22" ht="15.5" x14ac:dyDescent="0.35">
      <c r="B38" s="16" t="s">
        <v>1</v>
      </c>
      <c r="C38" s="1">
        <v>95</v>
      </c>
      <c r="D38" s="12">
        <v>2001</v>
      </c>
      <c r="E38" s="13" t="s">
        <v>37</v>
      </c>
      <c r="F38" s="1" t="s">
        <v>56</v>
      </c>
      <c r="G38" s="1" t="s">
        <v>55</v>
      </c>
      <c r="H38" s="1" t="s">
        <v>38</v>
      </c>
      <c r="I38" s="1" t="s">
        <v>59</v>
      </c>
      <c r="J38" s="1" t="s">
        <v>39</v>
      </c>
      <c r="K38" s="1" t="s">
        <v>89</v>
      </c>
      <c r="L38" s="1">
        <v>34</v>
      </c>
      <c r="M38" s="1">
        <v>21.5</v>
      </c>
      <c r="N38" s="1"/>
      <c r="O38" s="1">
        <v>4.5</v>
      </c>
      <c r="P38" s="1"/>
      <c r="Q38" s="1" t="s">
        <v>81</v>
      </c>
      <c r="R38" s="1">
        <v>15</v>
      </c>
      <c r="S38" s="1" t="s">
        <v>41</v>
      </c>
      <c r="T38" s="1" t="str">
        <f t="shared" si="0"/>
        <v>Non Printed PVC Bag 15 MM 34X21.5X+4.5+ Cm Without Pocket</v>
      </c>
      <c r="U38" s="5" t="s">
        <v>86</v>
      </c>
      <c r="V38" t="str">
        <f t="shared" si="1"/>
        <v>PVC Bag Without Pocket 34x21.5x+4.5+ Cm Non Printed 15 MM</v>
      </c>
    </row>
    <row r="39" spans="2:22" ht="15.5" x14ac:dyDescent="0.35">
      <c r="B39" s="16" t="s">
        <v>1</v>
      </c>
      <c r="C39" s="1">
        <v>95</v>
      </c>
      <c r="D39" s="12">
        <v>2001</v>
      </c>
      <c r="E39" s="13" t="s">
        <v>37</v>
      </c>
      <c r="F39" s="1" t="s">
        <v>56</v>
      </c>
      <c r="G39" s="1" t="s">
        <v>55</v>
      </c>
      <c r="H39" s="1" t="s">
        <v>38</v>
      </c>
      <c r="I39" s="1" t="s">
        <v>59</v>
      </c>
      <c r="J39" s="1" t="s">
        <v>39</v>
      </c>
      <c r="K39" s="1" t="s">
        <v>89</v>
      </c>
      <c r="L39" s="1">
        <v>34</v>
      </c>
      <c r="M39" s="1">
        <v>22</v>
      </c>
      <c r="N39" s="1"/>
      <c r="O39" s="1">
        <v>4.5</v>
      </c>
      <c r="P39" s="1"/>
      <c r="Q39" s="1" t="s">
        <v>81</v>
      </c>
      <c r="R39" s="1">
        <v>15</v>
      </c>
      <c r="S39" s="1" t="s">
        <v>41</v>
      </c>
      <c r="T39" s="1" t="str">
        <f t="shared" si="0"/>
        <v>Non Printed PVC Bag 15 MM 34X22X+4.5+ Cm Without Pocket</v>
      </c>
      <c r="U39" s="5" t="s">
        <v>87</v>
      </c>
      <c r="V39" t="str">
        <f t="shared" si="1"/>
        <v>PVC Bag Without Pocket 34x22x+4.5+ Cm Non Printed 15 MM</v>
      </c>
    </row>
    <row r="40" spans="2:22" ht="15.5" x14ac:dyDescent="0.35">
      <c r="B40" s="16" t="s">
        <v>1</v>
      </c>
      <c r="C40" s="1">
        <v>95</v>
      </c>
      <c r="D40" s="12">
        <v>2001</v>
      </c>
      <c r="E40" s="13" t="s">
        <v>37</v>
      </c>
      <c r="F40" s="1" t="s">
        <v>56</v>
      </c>
      <c r="G40" s="1" t="s">
        <v>55</v>
      </c>
      <c r="H40" s="1" t="s">
        <v>38</v>
      </c>
      <c r="I40" s="1" t="s">
        <v>59</v>
      </c>
      <c r="J40" s="1" t="s">
        <v>39</v>
      </c>
      <c r="K40" s="1" t="s">
        <v>89</v>
      </c>
      <c r="L40" s="1">
        <v>36</v>
      </c>
      <c r="M40" s="1">
        <v>23.5</v>
      </c>
      <c r="N40" s="1"/>
      <c r="O40" s="1">
        <v>5.25</v>
      </c>
      <c r="P40" s="1"/>
      <c r="Q40" s="1" t="s">
        <v>81</v>
      </c>
      <c r="R40" s="1">
        <v>15</v>
      </c>
      <c r="S40" s="1" t="s">
        <v>41</v>
      </c>
      <c r="T40" s="1" t="str">
        <f t="shared" si="0"/>
        <v>Non Printed PVC Bag 15 MM 36X23.5X+5.25+ Cm Without Pocket</v>
      </c>
      <c r="U40" s="5" t="s">
        <v>65</v>
      </c>
      <c r="V40" t="str">
        <f t="shared" si="1"/>
        <v>PVC Bag Without Pocket 36x23.5x+5.25+ Cm Non Printed 15 MM</v>
      </c>
    </row>
    <row r="41" spans="2:22" ht="15.5" x14ac:dyDescent="0.35">
      <c r="B41" s="16" t="s">
        <v>1</v>
      </c>
      <c r="C41" s="1">
        <v>95</v>
      </c>
      <c r="D41" s="12">
        <v>2001</v>
      </c>
      <c r="E41" s="13" t="s">
        <v>37</v>
      </c>
      <c r="F41" s="1" t="s">
        <v>56</v>
      </c>
      <c r="G41" s="1" t="s">
        <v>55</v>
      </c>
      <c r="H41" s="1" t="s">
        <v>38</v>
      </c>
      <c r="I41" s="1" t="s">
        <v>59</v>
      </c>
      <c r="J41" s="1" t="s">
        <v>39</v>
      </c>
      <c r="K41" s="1" t="s">
        <v>89</v>
      </c>
      <c r="L41" s="1">
        <v>28</v>
      </c>
      <c r="M41" s="1">
        <v>14.5</v>
      </c>
      <c r="N41" s="1"/>
      <c r="O41" s="1"/>
      <c r="P41" s="1"/>
      <c r="Q41" s="1" t="s">
        <v>81</v>
      </c>
      <c r="R41" s="1">
        <v>15</v>
      </c>
      <c r="S41" s="1" t="s">
        <v>41</v>
      </c>
      <c r="T41" s="1" t="str">
        <f t="shared" si="0"/>
        <v>Non Printed PVC Bag 15 MM 28X14.5X++ Cm Without Pocket</v>
      </c>
      <c r="U41" s="5" t="s">
        <v>88</v>
      </c>
      <c r="V41" t="str">
        <f t="shared" si="1"/>
        <v>PVC Bag Without Pocket 28x14.5x++ Cm Non Printed 15 MM</v>
      </c>
    </row>
    <row r="42" spans="2:22" ht="15.5" x14ac:dyDescent="0.35">
      <c r="B42" s="16" t="s">
        <v>1</v>
      </c>
      <c r="C42" s="1">
        <v>95</v>
      </c>
      <c r="D42" s="12">
        <v>2001</v>
      </c>
      <c r="E42" s="13" t="s">
        <v>37</v>
      </c>
      <c r="F42" s="1" t="s">
        <v>56</v>
      </c>
      <c r="G42" s="1" t="s">
        <v>55</v>
      </c>
      <c r="H42" s="1" t="s">
        <v>38</v>
      </c>
      <c r="I42" s="1" t="s">
        <v>59</v>
      </c>
      <c r="J42" s="1" t="s">
        <v>39</v>
      </c>
      <c r="K42" s="1" t="s">
        <v>89</v>
      </c>
      <c r="L42" s="1">
        <v>28</v>
      </c>
      <c r="M42" s="1">
        <v>16.25</v>
      </c>
      <c r="N42" s="1"/>
      <c r="O42" s="1"/>
      <c r="P42" s="1"/>
      <c r="Q42" s="1" t="s">
        <v>81</v>
      </c>
      <c r="R42" s="1">
        <v>15</v>
      </c>
      <c r="S42" s="1" t="s">
        <v>41</v>
      </c>
      <c r="T42" s="1" t="str">
        <f t="shared" si="0"/>
        <v>Non Printed PVC Bag 15 MM 28X16.25X++ Cm Without Pocket</v>
      </c>
      <c r="U42" s="5" t="s">
        <v>66</v>
      </c>
      <c r="V42" t="str">
        <f t="shared" si="1"/>
        <v>PVC Bag Without Pocket 28x16.25x++ Cm Non Printed 15 MM</v>
      </c>
    </row>
  </sheetData>
  <autoFilter ref="B1:V1" xr:uid="{E4BCF62F-0EED-4EC6-BEF3-AE56497664A6}"/>
  <conditionalFormatting sqref="T1:T1048576">
    <cfRule type="duplicateValues" dxfId="10" priority="6"/>
    <cfRule type="duplicateValues" dxfId="9" priority="7"/>
    <cfRule type="duplicateValues" dxfId="8" priority="3"/>
    <cfRule type="duplicateValues" dxfId="7" priority="2"/>
  </conditionalFormatting>
  <conditionalFormatting sqref="T1:T1048576">
    <cfRule type="duplicateValues" dxfId="6" priority="5"/>
  </conditionalFormatting>
  <conditionalFormatting sqref="V1:V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Didar</cp:lastModifiedBy>
  <dcterms:created xsi:type="dcterms:W3CDTF">2025-01-10T23:24:31Z</dcterms:created>
  <dcterms:modified xsi:type="dcterms:W3CDTF">2025-08-02T09:32:01Z</dcterms:modified>
</cp:coreProperties>
</file>