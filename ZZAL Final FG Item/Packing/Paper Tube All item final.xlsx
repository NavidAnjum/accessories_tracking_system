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ZZAL Final FG Item\Packing\"/>
    </mc:Choice>
  </mc:AlternateContent>
  <xr:revisionPtr revIDLastSave="0" documentId="13_ncr:1_{AA81B136-B15C-4E8C-A7F5-3AB1B99C2C22}" xr6:coauthVersionLast="45" xr6:coauthVersionMax="47" xr10:uidLastSave="{00000000-0000-0000-0000-000000000000}"/>
  <bookViews>
    <workbookView xWindow="-110" yWindow="-110" windowWidth="19420" windowHeight="10420" xr2:uid="{1BDBCCE1-732A-430B-BB7D-E7C8CB848D72}"/>
  </bookViews>
  <sheets>
    <sheet name="Sheet1" sheetId="1" r:id="rId1"/>
  </sheets>
  <definedNames>
    <definedName name="_xlnm._FilterDatabase" localSheetId="0" hidden="1">Sheet1!$B$1:$R$23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3" i="1" l="1"/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" i="1"/>
  <c r="Q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I1" authorId="0" shapeId="0" xr:uid="{5A93757B-C31B-4850-BE8A-8D44876DD001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J1" authorId="0" shapeId="0" xr:uid="{0F9831DA-B1EB-43DC-9220-94286CADAD7F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K1" authorId="0" shapeId="0" xr:uid="{FADE574C-C50D-408E-8203-080CCCECBC1C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M1" authorId="0" shapeId="0" xr:uid="{B909BCA1-3045-47AF-9834-E33645A51550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N1" authorId="0" shapeId="0" xr:uid="{ED04F163-756D-44A2-8E90-4F31793E648C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O1" authorId="0" shapeId="0" xr:uid="{6899A018-E1D4-4E5F-87E2-FD81687B118A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</commentList>
</comments>
</file>

<file path=xl/sharedStrings.xml><?xml version="1.0" encoding="utf-8"?>
<sst xmlns="http://schemas.openxmlformats.org/spreadsheetml/2006/main" count="215" uniqueCount="49">
  <si>
    <t>NG Item Categories
Major Categories</t>
  </si>
  <si>
    <t>Major 
Categories ID</t>
  </si>
  <si>
    <t>Item Prefix</t>
  </si>
  <si>
    <t>Item Prefix
Descriptions</t>
  </si>
  <si>
    <t>Status / Quality</t>
  </si>
  <si>
    <t>Color / Shade</t>
  </si>
  <si>
    <t>FG UOM</t>
  </si>
  <si>
    <t>Product Name</t>
  </si>
  <si>
    <t>Length</t>
  </si>
  <si>
    <t>Inner Dia</t>
  </si>
  <si>
    <t>Inner Dia-2</t>
  </si>
  <si>
    <t>Outer Dia</t>
  </si>
  <si>
    <t>UOM</t>
  </si>
  <si>
    <t>Weight
(Gram)</t>
  </si>
  <si>
    <t>Paper Tube</t>
  </si>
  <si>
    <t>Packing</t>
  </si>
  <si>
    <t>Manufactured</t>
  </si>
  <si>
    <t>None</t>
  </si>
  <si>
    <t>PCS</t>
  </si>
  <si>
    <t>PAPER TUBE</t>
  </si>
  <si>
    <t>Inch</t>
  </si>
  <si>
    <t>Item Desc</t>
  </si>
  <si>
    <t>Item Code</t>
  </si>
  <si>
    <t>2001.00022005.0001.0000.0000.0000</t>
  </si>
  <si>
    <t>2001.00022006.0001.0000.0000.0000</t>
  </si>
  <si>
    <t>2001.00027204.0001.0000.0000.0000</t>
  </si>
  <si>
    <t>2001.00027402.0001.0000.0000.0000</t>
  </si>
  <si>
    <t>2001.00029303.0001.0000.0000.0000</t>
  </si>
  <si>
    <t>2001.00030214.0001.0000.0000.0000</t>
  </si>
  <si>
    <t>2001.00030215.0001.0000.0000.0000</t>
  </si>
  <si>
    <t>2001.00035812.0001.0000.0000.0000</t>
  </si>
  <si>
    <t>2001.00038965.0001.0000.0000.0000</t>
  </si>
  <si>
    <t>5055.00004227.0001.0000.0000.0000</t>
  </si>
  <si>
    <t>MM</t>
  </si>
  <si>
    <t>2001.00011719.0001.0000.0000.0000</t>
  </si>
  <si>
    <t>2001.00012931.0001.0000.0000.0000</t>
  </si>
  <si>
    <t>2001.00022365.0001.0000.0000.0000</t>
  </si>
  <si>
    <t>2001.00036073.0001.0000.0000.0000</t>
  </si>
  <si>
    <t>2001.00038069.0001.0000.0000.0000</t>
  </si>
  <si>
    <t>2001.00038964.0001.0000.0000.0000</t>
  </si>
  <si>
    <t>2001.00039077.0005.0000.0000.0000</t>
  </si>
  <si>
    <t>5045.00006049.0001.0000.0000.0000</t>
  </si>
  <si>
    <t>5055.00005303.0001.0000.0000.0000</t>
  </si>
  <si>
    <t xml:space="preserve">Pcs </t>
  </si>
  <si>
    <t>5045.00003923.0001.0000.0000.0000</t>
  </si>
  <si>
    <t>2001.00037804.0001.0000.0000.0000</t>
  </si>
  <si>
    <t>Gram</t>
  </si>
  <si>
    <t>PAPER CONE</t>
  </si>
  <si>
    <t>2001.00037456.0001.0000.0000.0000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</si>
</sst>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11"/>
      <color theme="1"/>
      <name val="Trebuchet MS"/>
      <family val="2"/>
    </font>
    <font>
      <sz val="8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2" borderId="1" xfId="0" applyFont="1" applyFill="1" applyBorder="1" applyAlignment="1">
      <alignment wrapText="1"/>
    </xf>
    <xf numFmtId="0" fontId="0" fillId="2" borderId="3" xfId="0" applyFill="1" applyBorder="1"/>
    <xf numFmtId="0" fontId="0" fillId="2" borderId="1" xfId="0" applyFill="1" applyBorder="1"/>
    <xf numFmtId="0" fontId="8" fillId="2" borderId="4" xfId="0" applyFont="1" applyFill="1" applyBorder="1" applyAlignment="1">
      <alignment horizontal="justify" wrapText="1"/>
    </xf>
    <xf numFmtId="0" fontId="8" fillId="2" borderId="5" xfId="0" applyFont="1" applyFill="1" applyBorder="1" applyAlignment="1">
      <alignment horizontal="justify" wrapText="1"/>
    </xf>
    <xf numFmtId="0" fontId="8" fillId="2" borderId="3" xfId="0" applyFont="1" applyFill="1" applyBorder="1" applyAlignment="1">
      <alignment horizontal="justify" wrapText="1"/>
    </xf>
    <xf numFmtId="0" fontId="8" fillId="2" borderId="1" xfId="0" applyFont="1" applyFill="1" applyBorder="1" applyAlignment="1">
      <alignment horizontal="justify" wrapText="1"/>
    </xf>
    <xf numFmtId="0" fontId="4" fillId="2" borderId="3" xfId="0" applyFont="1" applyFill="1" applyBorder="1" applyAlignment="1">
      <alignment wrapText="1"/>
    </xf>
    <xf numFmtId="0" fontId="9" fillId="2" borderId="1" xfId="0" applyFont="1" applyFill="1" applyBorder="1" applyAlignment="1">
      <alignment horizontal="justify" wrapText="1"/>
    </xf>
    <xf numFmtId="0" fontId="9" fillId="2" borderId="2" xfId="0" applyFont="1" applyFill="1" applyBorder="1" applyAlignment="1">
      <alignment horizontal="justify" wrapText="1"/>
    </xf>
    <xf numFmtId="0" fontId="7" fillId="2" borderId="2" xfId="0" applyFont="1" applyFill="1" applyBorder="1" applyAlignment="1">
      <alignment horizontal="justify" wrapText="1"/>
    </xf>
    <xf numFmtId="0" fontId="8" fillId="2" borderId="2" xfId="0" applyFont="1" applyFill="1" applyBorder="1" applyAlignment="1">
      <alignment horizontal="justify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7365-C9AC-49A8-90F3-BBEB5777812A}">
  <dimension ref="B1:R23"/>
  <sheetViews>
    <sheetView tabSelected="1" topLeftCell="G1" workbookViewId="0">
      <pane ySplit="1" topLeftCell="A2" activePane="bottomLeft" state="frozen"/>
      <selection pane="bottomLeft" activeCell="R3" sqref="R3"/>
    </sheetView>
  </sheetViews>
  <sheetFormatPr defaultRowHeight="14.5" x14ac:dyDescent="0.35"/>
  <cols>
    <col min="2" max="3" width="10.26953125" bestFit="1" customWidth="1"/>
    <col min="6" max="6" width="12.7265625" bestFit="1" customWidth="1"/>
    <col min="9" max="9" width="10.7265625" customWidth="1"/>
    <col min="17" max="17" width="32.26953125" bestFit="1" customWidth="1"/>
    <col min="18" max="18" width="37.81640625" customWidth="1"/>
  </cols>
  <sheetData>
    <row r="1" spans="2:18" ht="34.5" customHeight="1" x14ac:dyDescent="0.35">
      <c r="B1" s="15" t="s">
        <v>0</v>
      </c>
      <c r="C1" s="15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7" t="s">
        <v>6</v>
      </c>
      <c r="I1" s="16" t="s">
        <v>7</v>
      </c>
      <c r="J1" s="16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5" t="s">
        <v>13</v>
      </c>
      <c r="P1" s="15" t="s">
        <v>12</v>
      </c>
      <c r="Q1" s="17" t="s">
        <v>21</v>
      </c>
      <c r="R1" s="17" t="s">
        <v>22</v>
      </c>
    </row>
    <row r="2" spans="2:18" ht="15.5" x14ac:dyDescent="0.35">
      <c r="B2" s="1" t="s">
        <v>14</v>
      </c>
      <c r="C2" s="1"/>
      <c r="D2" s="1">
        <v>2001</v>
      </c>
      <c r="E2" s="1" t="s">
        <v>15</v>
      </c>
      <c r="F2" s="1" t="s">
        <v>16</v>
      </c>
      <c r="G2" s="2" t="s">
        <v>17</v>
      </c>
      <c r="H2" s="1" t="s">
        <v>18</v>
      </c>
      <c r="I2" s="3" t="s">
        <v>19</v>
      </c>
      <c r="J2" s="1">
        <v>59</v>
      </c>
      <c r="K2" s="1">
        <v>34</v>
      </c>
      <c r="L2" s="1"/>
      <c r="M2" s="1"/>
      <c r="N2" s="1" t="s">
        <v>20</v>
      </c>
      <c r="O2" s="1">
        <v>350</v>
      </c>
      <c r="P2" s="1" t="s">
        <v>46</v>
      </c>
      <c r="Q2" s="5" t="str">
        <f>CONCATENATE(J2,"X",K2,"X",L2," ",N2," ",I2)</f>
        <v>59X34X Inch PAPER TUBE</v>
      </c>
      <c r="R2" s="12" t="s">
        <v>23</v>
      </c>
    </row>
    <row r="3" spans="2:18" ht="15.5" x14ac:dyDescent="0.35">
      <c r="B3" s="1" t="s">
        <v>14</v>
      </c>
      <c r="C3" s="1"/>
      <c r="D3" s="1">
        <v>2001</v>
      </c>
      <c r="E3" s="1" t="s">
        <v>15</v>
      </c>
      <c r="F3" s="1" t="s">
        <v>16</v>
      </c>
      <c r="G3" s="2" t="s">
        <v>17</v>
      </c>
      <c r="H3" s="1" t="s">
        <v>18</v>
      </c>
      <c r="I3" s="3" t="s">
        <v>19</v>
      </c>
      <c r="J3" s="1">
        <v>54</v>
      </c>
      <c r="K3" s="1">
        <v>34</v>
      </c>
      <c r="L3" s="1"/>
      <c r="M3" s="1"/>
      <c r="N3" s="1" t="s">
        <v>20</v>
      </c>
      <c r="O3" s="1">
        <v>300</v>
      </c>
      <c r="P3" s="1" t="s">
        <v>46</v>
      </c>
      <c r="Q3" s="5" t="str">
        <f>CONCATENATE(J3,"X",K3,"X",L3," ",N3," ",I3)</f>
        <v>54X34X Inch PAPER TUBE</v>
      </c>
      <c r="R3" s="13" t="s">
        <v>24</v>
      </c>
    </row>
    <row r="4" spans="2:18" ht="15.5" x14ac:dyDescent="0.35">
      <c r="B4" s="1" t="s">
        <v>14</v>
      </c>
      <c r="C4" s="1"/>
      <c r="D4" s="1">
        <v>2001</v>
      </c>
      <c r="E4" s="1" t="s">
        <v>15</v>
      </c>
      <c r="F4" s="1" t="s">
        <v>16</v>
      </c>
      <c r="G4" s="2" t="s">
        <v>17</v>
      </c>
      <c r="H4" s="1" t="s">
        <v>18</v>
      </c>
      <c r="I4" s="3" t="s">
        <v>19</v>
      </c>
      <c r="J4" s="1">
        <v>58.5</v>
      </c>
      <c r="K4" s="1">
        <v>34</v>
      </c>
      <c r="L4" s="1"/>
      <c r="M4" s="1"/>
      <c r="N4" s="1" t="s">
        <v>20</v>
      </c>
      <c r="O4" s="1">
        <v>260</v>
      </c>
      <c r="P4" s="1" t="s">
        <v>46</v>
      </c>
      <c r="Q4" s="5" t="str">
        <f t="shared" ref="Q4:Q23" si="0">CONCATENATE(J4,"X",K4,"X",L4," ",N4," ",I4)</f>
        <v>58.5X34X Inch PAPER TUBE</v>
      </c>
      <c r="R4" s="13" t="s">
        <v>25</v>
      </c>
    </row>
    <row r="5" spans="2:18" ht="15.5" x14ac:dyDescent="0.35">
      <c r="B5" s="1" t="s">
        <v>14</v>
      </c>
      <c r="C5" s="1"/>
      <c r="D5" s="1">
        <v>2001</v>
      </c>
      <c r="E5" s="1" t="s">
        <v>15</v>
      </c>
      <c r="F5" s="1" t="s">
        <v>16</v>
      </c>
      <c r="G5" s="2" t="s">
        <v>17</v>
      </c>
      <c r="H5" s="1" t="s">
        <v>18</v>
      </c>
      <c r="I5" s="3" t="s">
        <v>19</v>
      </c>
      <c r="J5" s="1">
        <v>62</v>
      </c>
      <c r="K5" s="1">
        <v>34</v>
      </c>
      <c r="L5" s="1"/>
      <c r="M5" s="1"/>
      <c r="N5" s="1" t="s">
        <v>20</v>
      </c>
      <c r="O5" s="1">
        <v>350</v>
      </c>
      <c r="P5" s="1" t="s">
        <v>46</v>
      </c>
      <c r="Q5" s="5" t="str">
        <f t="shared" si="0"/>
        <v>62X34X Inch PAPER TUBE</v>
      </c>
      <c r="R5" s="13" t="s">
        <v>26</v>
      </c>
    </row>
    <row r="6" spans="2:18" ht="15.5" x14ac:dyDescent="0.35">
      <c r="B6" s="1" t="s">
        <v>14</v>
      </c>
      <c r="C6" s="1"/>
      <c r="D6" s="1">
        <v>2001</v>
      </c>
      <c r="E6" s="1" t="s">
        <v>15</v>
      </c>
      <c r="F6" s="1" t="s">
        <v>16</v>
      </c>
      <c r="G6" s="2" t="s">
        <v>17</v>
      </c>
      <c r="H6" s="1" t="s">
        <v>18</v>
      </c>
      <c r="I6" s="3" t="s">
        <v>19</v>
      </c>
      <c r="J6" s="1">
        <v>90</v>
      </c>
      <c r="K6" s="1">
        <v>34</v>
      </c>
      <c r="L6" s="1"/>
      <c r="M6" s="1"/>
      <c r="N6" s="1" t="s">
        <v>20</v>
      </c>
      <c r="O6" s="1">
        <v>650</v>
      </c>
      <c r="P6" s="1" t="s">
        <v>46</v>
      </c>
      <c r="Q6" s="5" t="str">
        <f t="shared" si="0"/>
        <v>90X34X Inch PAPER TUBE</v>
      </c>
      <c r="R6" s="13" t="s">
        <v>27</v>
      </c>
    </row>
    <row r="7" spans="2:18" ht="15.5" x14ac:dyDescent="0.35">
      <c r="B7" s="1" t="s">
        <v>14</v>
      </c>
      <c r="C7" s="1"/>
      <c r="D7" s="1">
        <v>2001</v>
      </c>
      <c r="E7" s="1" t="s">
        <v>15</v>
      </c>
      <c r="F7" s="1" t="s">
        <v>16</v>
      </c>
      <c r="G7" s="2" t="s">
        <v>17</v>
      </c>
      <c r="H7" s="1" t="s">
        <v>18</v>
      </c>
      <c r="I7" s="3" t="s">
        <v>19</v>
      </c>
      <c r="J7" s="1">
        <v>68</v>
      </c>
      <c r="K7" s="1">
        <v>34</v>
      </c>
      <c r="L7" s="1"/>
      <c r="M7" s="1"/>
      <c r="N7" s="1" t="s">
        <v>20</v>
      </c>
      <c r="O7" s="1">
        <v>430</v>
      </c>
      <c r="P7" s="1" t="s">
        <v>46</v>
      </c>
      <c r="Q7" s="5" t="str">
        <f t="shared" si="0"/>
        <v>68X34X Inch PAPER TUBE</v>
      </c>
      <c r="R7" s="13" t="s">
        <v>28</v>
      </c>
    </row>
    <row r="8" spans="2:18" ht="15.5" x14ac:dyDescent="0.35">
      <c r="B8" s="1" t="s">
        <v>14</v>
      </c>
      <c r="C8" s="1"/>
      <c r="D8" s="1">
        <v>2001</v>
      </c>
      <c r="E8" s="1" t="s">
        <v>15</v>
      </c>
      <c r="F8" s="1" t="s">
        <v>16</v>
      </c>
      <c r="G8" s="2" t="s">
        <v>17</v>
      </c>
      <c r="H8" s="1" t="s">
        <v>18</v>
      </c>
      <c r="I8" s="3" t="s">
        <v>19</v>
      </c>
      <c r="J8" s="1">
        <v>72</v>
      </c>
      <c r="K8" s="1">
        <v>34</v>
      </c>
      <c r="L8" s="1"/>
      <c r="M8" s="1"/>
      <c r="N8" s="1" t="s">
        <v>20</v>
      </c>
      <c r="O8" s="1">
        <v>500</v>
      </c>
      <c r="P8" s="1" t="s">
        <v>46</v>
      </c>
      <c r="Q8" s="5" t="str">
        <f t="shared" si="0"/>
        <v>72X34X Inch PAPER TUBE</v>
      </c>
      <c r="R8" s="13" t="s">
        <v>29</v>
      </c>
    </row>
    <row r="9" spans="2:18" ht="15.5" x14ac:dyDescent="0.35">
      <c r="B9" s="1" t="s">
        <v>14</v>
      </c>
      <c r="C9" s="1"/>
      <c r="D9" s="1">
        <v>2001</v>
      </c>
      <c r="E9" s="1" t="s">
        <v>15</v>
      </c>
      <c r="F9" s="1" t="s">
        <v>16</v>
      </c>
      <c r="G9" s="2" t="s">
        <v>17</v>
      </c>
      <c r="H9" s="1" t="s">
        <v>18</v>
      </c>
      <c r="I9" s="3" t="s">
        <v>19</v>
      </c>
      <c r="J9" s="1">
        <v>42</v>
      </c>
      <c r="K9" s="1">
        <v>26</v>
      </c>
      <c r="L9" s="1"/>
      <c r="M9" s="1"/>
      <c r="N9" s="1" t="s">
        <v>20</v>
      </c>
      <c r="O9" s="1">
        <v>190</v>
      </c>
      <c r="P9" s="1" t="s">
        <v>46</v>
      </c>
      <c r="Q9" s="5" t="str">
        <f t="shared" si="0"/>
        <v>42X26X Inch PAPER TUBE</v>
      </c>
      <c r="R9" s="13" t="s">
        <v>30</v>
      </c>
    </row>
    <row r="10" spans="2:18" ht="15.5" x14ac:dyDescent="0.35">
      <c r="B10" s="1" t="s">
        <v>14</v>
      </c>
      <c r="C10" s="1"/>
      <c r="D10" s="1">
        <v>2001</v>
      </c>
      <c r="E10" s="1" t="s">
        <v>15</v>
      </c>
      <c r="F10" s="1" t="s">
        <v>16</v>
      </c>
      <c r="G10" s="2" t="s">
        <v>17</v>
      </c>
      <c r="H10" s="1" t="s">
        <v>18</v>
      </c>
      <c r="I10" s="3" t="s">
        <v>19</v>
      </c>
      <c r="J10" s="1">
        <v>56</v>
      </c>
      <c r="K10" s="1">
        <v>34</v>
      </c>
      <c r="L10" s="1"/>
      <c r="M10" s="1"/>
      <c r="N10" s="1" t="s">
        <v>20</v>
      </c>
      <c r="O10" s="1">
        <v>350</v>
      </c>
      <c r="P10" s="1" t="s">
        <v>46</v>
      </c>
      <c r="Q10" s="5" t="str">
        <f t="shared" si="0"/>
        <v>56X34X Inch PAPER TUBE</v>
      </c>
      <c r="R10" s="13" t="s">
        <v>31</v>
      </c>
    </row>
    <row r="11" spans="2:18" ht="15.5" x14ac:dyDescent="0.35">
      <c r="B11" s="1" t="s">
        <v>14</v>
      </c>
      <c r="C11" s="1"/>
      <c r="D11" s="1">
        <v>2001</v>
      </c>
      <c r="E11" s="1" t="s">
        <v>15</v>
      </c>
      <c r="F11" s="1" t="s">
        <v>16</v>
      </c>
      <c r="G11" s="2" t="s">
        <v>17</v>
      </c>
      <c r="H11" s="1" t="s">
        <v>18</v>
      </c>
      <c r="I11" s="3" t="s">
        <v>19</v>
      </c>
      <c r="J11" s="1">
        <v>60</v>
      </c>
      <c r="K11" s="1">
        <v>34</v>
      </c>
      <c r="L11" s="1"/>
      <c r="M11" s="1"/>
      <c r="N11" s="1" t="s">
        <v>20</v>
      </c>
      <c r="O11" s="1">
        <v>370</v>
      </c>
      <c r="P11" s="1" t="s">
        <v>46</v>
      </c>
      <c r="Q11" s="5" t="str">
        <f t="shared" si="0"/>
        <v>60X34X Inch PAPER TUBE</v>
      </c>
      <c r="R11" s="14" t="s">
        <v>32</v>
      </c>
    </row>
    <row r="12" spans="2:18" ht="15.5" x14ac:dyDescent="0.35">
      <c r="B12" s="1" t="s">
        <v>14</v>
      </c>
      <c r="C12" s="1"/>
      <c r="D12" s="1">
        <v>2001</v>
      </c>
      <c r="E12" s="1" t="s">
        <v>15</v>
      </c>
      <c r="F12" s="1" t="s">
        <v>16</v>
      </c>
      <c r="G12" s="2" t="s">
        <v>17</v>
      </c>
      <c r="H12" s="1" t="s">
        <v>18</v>
      </c>
      <c r="I12" s="3" t="s">
        <v>47</v>
      </c>
      <c r="J12" s="5">
        <v>170</v>
      </c>
      <c r="K12" s="5">
        <v>54</v>
      </c>
      <c r="L12" s="5">
        <v>42</v>
      </c>
      <c r="M12" s="5"/>
      <c r="N12" s="4" t="s">
        <v>33</v>
      </c>
      <c r="O12" s="5">
        <v>60</v>
      </c>
      <c r="P12" s="1" t="s">
        <v>46</v>
      </c>
      <c r="Q12" s="5" t="str">
        <f t="shared" si="0"/>
        <v>170X54X42 MM PAPER CONE</v>
      </c>
      <c r="R12" s="6" t="s">
        <v>34</v>
      </c>
    </row>
    <row r="13" spans="2:18" ht="15.5" x14ac:dyDescent="0.35">
      <c r="B13" s="1" t="s">
        <v>14</v>
      </c>
      <c r="C13" s="1"/>
      <c r="D13" s="1">
        <v>2001</v>
      </c>
      <c r="E13" s="1" t="s">
        <v>15</v>
      </c>
      <c r="F13" s="1" t="s">
        <v>16</v>
      </c>
      <c r="G13" s="2" t="s">
        <v>17</v>
      </c>
      <c r="H13" s="1" t="s">
        <v>18</v>
      </c>
      <c r="I13" s="3" t="s">
        <v>47</v>
      </c>
      <c r="J13" s="5">
        <v>173</v>
      </c>
      <c r="K13" s="5">
        <v>44</v>
      </c>
      <c r="L13" s="5">
        <v>48</v>
      </c>
      <c r="M13" s="5"/>
      <c r="N13" s="4" t="s">
        <v>33</v>
      </c>
      <c r="O13" s="5">
        <v>40</v>
      </c>
      <c r="P13" s="1" t="s">
        <v>46</v>
      </c>
      <c r="Q13" s="5" t="str">
        <f t="shared" si="0"/>
        <v>173X44X48 MM PAPER CONE</v>
      </c>
      <c r="R13" s="6" t="s">
        <v>35</v>
      </c>
    </row>
    <row r="14" spans="2:18" ht="15.5" x14ac:dyDescent="0.35">
      <c r="B14" s="1" t="s">
        <v>14</v>
      </c>
      <c r="C14" s="1"/>
      <c r="D14" s="1">
        <v>2001</v>
      </c>
      <c r="E14" s="1" t="s">
        <v>15</v>
      </c>
      <c r="F14" s="1" t="s">
        <v>16</v>
      </c>
      <c r="G14" s="2" t="s">
        <v>17</v>
      </c>
      <c r="H14" s="1" t="s">
        <v>18</v>
      </c>
      <c r="I14" s="3" t="s">
        <v>47</v>
      </c>
      <c r="J14" s="5">
        <v>170</v>
      </c>
      <c r="K14" s="5">
        <v>40</v>
      </c>
      <c r="L14" s="5">
        <v>50</v>
      </c>
      <c r="M14" s="5"/>
      <c r="N14" s="4" t="s">
        <v>33</v>
      </c>
      <c r="O14" s="5">
        <v>60</v>
      </c>
      <c r="P14" s="1" t="s">
        <v>46</v>
      </c>
      <c r="Q14" s="5" t="str">
        <f t="shared" si="0"/>
        <v>170X40X50 MM PAPER CONE</v>
      </c>
      <c r="R14" s="6" t="s">
        <v>36</v>
      </c>
    </row>
    <row r="15" spans="2:18" ht="15.5" x14ac:dyDescent="0.35">
      <c r="B15" s="1" t="s">
        <v>14</v>
      </c>
      <c r="C15" s="1"/>
      <c r="D15" s="1">
        <v>2001</v>
      </c>
      <c r="E15" s="1" t="s">
        <v>15</v>
      </c>
      <c r="F15" s="1" t="s">
        <v>16</v>
      </c>
      <c r="G15" s="2" t="s">
        <v>17</v>
      </c>
      <c r="H15" s="1" t="s">
        <v>18</v>
      </c>
      <c r="I15" s="3" t="s">
        <v>19</v>
      </c>
      <c r="J15" s="5">
        <v>46</v>
      </c>
      <c r="K15" s="5">
        <v>26</v>
      </c>
      <c r="L15" s="5"/>
      <c r="M15" s="5"/>
      <c r="N15" s="4" t="s">
        <v>20</v>
      </c>
      <c r="O15" s="5">
        <v>200</v>
      </c>
      <c r="P15" s="1" t="s">
        <v>46</v>
      </c>
      <c r="Q15" s="5" t="str">
        <f t="shared" si="0"/>
        <v>46X26X Inch PAPER TUBE</v>
      </c>
      <c r="R15" s="6" t="s">
        <v>37</v>
      </c>
    </row>
    <row r="16" spans="2:18" ht="15.5" x14ac:dyDescent="0.35">
      <c r="B16" s="1" t="s">
        <v>14</v>
      </c>
      <c r="C16" s="1"/>
      <c r="D16" s="1">
        <v>2001</v>
      </c>
      <c r="E16" s="1" t="s">
        <v>15</v>
      </c>
      <c r="F16" s="1" t="s">
        <v>16</v>
      </c>
      <c r="G16" s="2" t="s">
        <v>17</v>
      </c>
      <c r="H16" s="1" t="s">
        <v>18</v>
      </c>
      <c r="I16" s="3" t="s">
        <v>19</v>
      </c>
      <c r="J16" s="5">
        <v>61</v>
      </c>
      <c r="K16" s="5">
        <v>34</v>
      </c>
      <c r="L16" s="5"/>
      <c r="M16" s="5"/>
      <c r="N16" s="4" t="s">
        <v>20</v>
      </c>
      <c r="O16" s="5">
        <v>260</v>
      </c>
      <c r="P16" s="1" t="s">
        <v>46</v>
      </c>
      <c r="Q16" s="5" t="str">
        <f t="shared" si="0"/>
        <v>61X34X Inch PAPER TUBE</v>
      </c>
      <c r="R16" s="6" t="s">
        <v>38</v>
      </c>
    </row>
    <row r="17" spans="2:18" ht="15.5" x14ac:dyDescent="0.35">
      <c r="B17" s="1" t="s">
        <v>14</v>
      </c>
      <c r="C17" s="1"/>
      <c r="D17" s="1">
        <v>2001</v>
      </c>
      <c r="E17" s="1" t="s">
        <v>15</v>
      </c>
      <c r="F17" s="1" t="s">
        <v>16</v>
      </c>
      <c r="G17" s="2" t="s">
        <v>17</v>
      </c>
      <c r="H17" s="1" t="s">
        <v>18</v>
      </c>
      <c r="I17" s="3" t="s">
        <v>19</v>
      </c>
      <c r="J17" s="4">
        <v>45</v>
      </c>
      <c r="K17" s="4">
        <v>34</v>
      </c>
      <c r="L17" s="4"/>
      <c r="M17" s="4"/>
      <c r="N17" s="4" t="s">
        <v>20</v>
      </c>
      <c r="O17" s="4">
        <v>270</v>
      </c>
      <c r="P17" s="1" t="s">
        <v>46</v>
      </c>
      <c r="Q17" s="5" t="str">
        <f t="shared" si="0"/>
        <v>45X34X Inch PAPER TUBE</v>
      </c>
      <c r="R17" s="7" t="s">
        <v>39</v>
      </c>
    </row>
    <row r="18" spans="2:18" ht="15.5" x14ac:dyDescent="0.35">
      <c r="B18" s="1" t="s">
        <v>14</v>
      </c>
      <c r="C18" s="1"/>
      <c r="D18" s="1">
        <v>2001</v>
      </c>
      <c r="E18" s="1" t="s">
        <v>15</v>
      </c>
      <c r="F18" s="1" t="s">
        <v>16</v>
      </c>
      <c r="G18" s="2" t="s">
        <v>17</v>
      </c>
      <c r="H18" s="1" t="s">
        <v>18</v>
      </c>
      <c r="I18" s="3" t="s">
        <v>19</v>
      </c>
      <c r="J18" s="4">
        <v>65</v>
      </c>
      <c r="K18" s="4">
        <v>56</v>
      </c>
      <c r="L18" s="4"/>
      <c r="M18" s="4"/>
      <c r="N18" s="4" t="s">
        <v>20</v>
      </c>
      <c r="O18" s="4">
        <v>850</v>
      </c>
      <c r="P18" s="1" t="s">
        <v>46</v>
      </c>
      <c r="Q18" s="5" t="str">
        <f t="shared" si="0"/>
        <v>65X56X Inch PAPER TUBE</v>
      </c>
      <c r="R18" s="8" t="s">
        <v>40</v>
      </c>
    </row>
    <row r="19" spans="2:18" ht="15.5" x14ac:dyDescent="0.35">
      <c r="B19" s="1" t="s">
        <v>14</v>
      </c>
      <c r="C19" s="1"/>
      <c r="D19" s="1">
        <v>2001</v>
      </c>
      <c r="E19" s="1" t="s">
        <v>15</v>
      </c>
      <c r="F19" s="1" t="s">
        <v>16</v>
      </c>
      <c r="G19" s="2" t="s">
        <v>17</v>
      </c>
      <c r="H19" s="1" t="s">
        <v>18</v>
      </c>
      <c r="I19" s="3" t="s">
        <v>19</v>
      </c>
      <c r="J19" s="5">
        <v>73</v>
      </c>
      <c r="K19" s="5">
        <v>34</v>
      </c>
      <c r="L19" s="5"/>
      <c r="M19" s="5"/>
      <c r="N19" s="5" t="s">
        <v>20</v>
      </c>
      <c r="O19" s="5">
        <v>450</v>
      </c>
      <c r="P19" s="1" t="s">
        <v>46</v>
      </c>
      <c r="Q19" s="5" t="str">
        <f t="shared" si="0"/>
        <v>73X34X Inch PAPER TUBE</v>
      </c>
      <c r="R19" s="9" t="s">
        <v>41</v>
      </c>
    </row>
    <row r="20" spans="2:18" ht="15.5" x14ac:dyDescent="0.35">
      <c r="B20" s="1" t="s">
        <v>14</v>
      </c>
      <c r="C20" s="1"/>
      <c r="D20" s="1">
        <v>2001</v>
      </c>
      <c r="E20" s="1" t="s">
        <v>15</v>
      </c>
      <c r="F20" s="1" t="s">
        <v>16</v>
      </c>
      <c r="G20" s="2" t="s">
        <v>17</v>
      </c>
      <c r="H20" s="1" t="s">
        <v>18</v>
      </c>
      <c r="I20" s="3" t="s">
        <v>19</v>
      </c>
      <c r="J20" s="4">
        <v>58</v>
      </c>
      <c r="K20" s="4">
        <v>34</v>
      </c>
      <c r="L20" s="4"/>
      <c r="M20" s="4"/>
      <c r="N20" s="4" t="s">
        <v>20</v>
      </c>
      <c r="O20" s="4">
        <v>350</v>
      </c>
      <c r="P20" s="1" t="s">
        <v>46</v>
      </c>
      <c r="Q20" s="5" t="str">
        <f t="shared" si="0"/>
        <v>58X34X Inch PAPER TUBE</v>
      </c>
      <c r="R20" s="9" t="s">
        <v>42</v>
      </c>
    </row>
    <row r="21" spans="2:18" ht="15.5" x14ac:dyDescent="0.35">
      <c r="B21" s="4" t="s">
        <v>14</v>
      </c>
      <c r="C21" s="5"/>
      <c r="D21" s="4">
        <v>2001</v>
      </c>
      <c r="E21" s="1" t="s">
        <v>15</v>
      </c>
      <c r="F21" s="1" t="s">
        <v>16</v>
      </c>
      <c r="G21" s="2" t="s">
        <v>17</v>
      </c>
      <c r="H21" s="4" t="s">
        <v>43</v>
      </c>
      <c r="I21" s="10" t="s">
        <v>19</v>
      </c>
      <c r="J21" s="5">
        <v>55</v>
      </c>
      <c r="K21" s="5">
        <v>26</v>
      </c>
      <c r="L21" s="5"/>
      <c r="M21" s="5"/>
      <c r="N21" s="4" t="s">
        <v>20</v>
      </c>
      <c r="O21" s="5">
        <v>250</v>
      </c>
      <c r="P21" s="1" t="s">
        <v>46</v>
      </c>
      <c r="Q21" s="5" t="str">
        <f t="shared" si="0"/>
        <v>55X26X Inch PAPER TUBE</v>
      </c>
      <c r="R21" s="11" t="s">
        <v>44</v>
      </c>
    </row>
    <row r="22" spans="2:18" ht="15.5" x14ac:dyDescent="0.35">
      <c r="B22" s="5" t="s">
        <v>14</v>
      </c>
      <c r="C22" s="5"/>
      <c r="D22" s="5">
        <v>2001</v>
      </c>
      <c r="E22" s="1" t="s">
        <v>15</v>
      </c>
      <c r="F22" s="1" t="s">
        <v>16</v>
      </c>
      <c r="G22" s="2" t="s">
        <v>17</v>
      </c>
      <c r="H22" s="5" t="s">
        <v>43</v>
      </c>
      <c r="I22" s="3" t="s">
        <v>19</v>
      </c>
      <c r="J22" s="5">
        <v>51</v>
      </c>
      <c r="K22" s="5">
        <v>34</v>
      </c>
      <c r="L22" s="5"/>
      <c r="M22" s="5"/>
      <c r="N22" s="5" t="s">
        <v>20</v>
      </c>
      <c r="O22" s="5">
        <v>310</v>
      </c>
      <c r="P22" s="1" t="s">
        <v>46</v>
      </c>
      <c r="Q22" s="5" t="str">
        <f t="shared" si="0"/>
        <v>51X34X Inch PAPER TUBE</v>
      </c>
      <c r="R22" s="11" t="s">
        <v>45</v>
      </c>
    </row>
    <row r="23" spans="2:18" ht="15.5" x14ac:dyDescent="0.35">
      <c r="B23" s="5" t="s">
        <v>14</v>
      </c>
      <c r="C23" s="5"/>
      <c r="D23" s="5">
        <v>2001</v>
      </c>
      <c r="E23" s="1" t="s">
        <v>15</v>
      </c>
      <c r="F23" s="1" t="s">
        <v>16</v>
      </c>
      <c r="G23" s="2" t="s">
        <v>17</v>
      </c>
      <c r="H23" s="5" t="s">
        <v>43</v>
      </c>
      <c r="I23" s="3" t="s">
        <v>19</v>
      </c>
      <c r="J23" s="5">
        <v>43.5</v>
      </c>
      <c r="K23" s="5">
        <v>34</v>
      </c>
      <c r="L23" s="5"/>
      <c r="M23" s="5"/>
      <c r="N23" s="5" t="s">
        <v>20</v>
      </c>
      <c r="O23" s="5">
        <v>260</v>
      </c>
      <c r="P23" s="1" t="s">
        <v>46</v>
      </c>
      <c r="Q23" s="5" t="str">
        <f t="shared" si="0"/>
        <v>43.5X34X Inch PAPER TUBE</v>
      </c>
      <c r="R23" s="11" t="s">
        <v>48</v>
      </c>
    </row>
  </sheetData>
  <conditionalFormatting sqref="R1 Q1:Q1048576">
    <cfRule type="duplicateValues" dxfId="4" priority="54"/>
  </conditionalFormatting>
  <conditionalFormatting sqref="R1:R1048576">
    <cfRule type="duplicateValues" dxfId="3" priority="3"/>
  </conditionalFormatting>
  <conditionalFormatting sqref="R20">
    <cfRule type="duplicateValues" dxfId="2" priority="6"/>
    <cfRule type="duplicateValues" dxfId="1" priority="8"/>
  </conditionalFormatting>
  <conditionalFormatting sqref="Q1:R1048576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Didar</dc:creator>
  <cp:lastModifiedBy>Didar</cp:lastModifiedBy>
  <dcterms:created xsi:type="dcterms:W3CDTF">2025-05-26T03:29:15Z</dcterms:created>
  <dcterms:modified xsi:type="dcterms:W3CDTF">2025-07-15T07:26:20Z</dcterms:modified>
</cp:coreProperties>
</file>