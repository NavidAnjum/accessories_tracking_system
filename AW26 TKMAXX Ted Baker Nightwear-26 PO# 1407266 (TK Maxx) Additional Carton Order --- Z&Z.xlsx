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RAN\Ted Baker\TK Maxx Ted Baker Nightwear June - Sep 2026\Order Sheet\Accessory\Carton\"/>
    </mc:Choice>
  </mc:AlternateContent>
  <bookViews>
    <workbookView xWindow="0" yWindow="0" windowWidth="20490" windowHeight="7350" firstSheet="1" activeTab="1"/>
  </bookViews>
  <sheets>
    <sheet name="CTN" sheetId="1" state="hidden" r:id="rId1"/>
    <sheet name="Carton" sheetId="2" r:id="rId2"/>
    <sheet name="Sheet1" sheetId="3" state="hidden" r:id="rId3"/>
  </sheets>
  <definedNames>
    <definedName name="_xlnm._FilterDatabase" localSheetId="1" hidden="1">Carton!$J$8:$L$19</definedName>
    <definedName name="_xlnm.Print_Area" localSheetId="1">Carton!$A$1:$P$28</definedName>
    <definedName name="_xlnm.Print_Area" localSheetId="0">CTN!$A$1:$AD$58</definedName>
  </definedNames>
  <calcPr calcId="162913"/>
</workbook>
</file>

<file path=xl/calcChain.xml><?xml version="1.0" encoding="utf-8"?>
<calcChain xmlns="http://schemas.openxmlformats.org/spreadsheetml/2006/main">
  <c r="K12" i="2" l="1"/>
  <c r="L12" i="2" l="1"/>
  <c r="H106" i="3" l="1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07" i="3" s="1"/>
  <c r="H14" i="3"/>
  <c r="H13" i="3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Y42" i="1"/>
  <c r="AB42" i="1"/>
</calcChain>
</file>

<file path=xl/sharedStrings.xml><?xml version="1.0" encoding="utf-8"?>
<sst xmlns="http://schemas.openxmlformats.org/spreadsheetml/2006/main" count="284" uniqueCount="114">
  <si>
    <t>TO:</t>
  </si>
  <si>
    <t>CARTON  
 Purchase Order</t>
  </si>
  <si>
    <t>SHIP TO:</t>
  </si>
  <si>
    <t>ATTN:</t>
  </si>
  <si>
    <t>Zubayer M. Shoeb</t>
  </si>
  <si>
    <t>Ever Fashion Tongi Ltd</t>
  </si>
  <si>
    <t>Plot#D-204, 205 And 206, BSCIC Industrial Area,</t>
  </si>
  <si>
    <t>Tongi, Gazipur - 1710, Bangladesh</t>
  </si>
  <si>
    <t xml:space="preserve">ORDER DATE: </t>
  </si>
  <si>
    <t>Tel: +8802-9817545</t>
  </si>
  <si>
    <t xml:space="preserve">DELIVERY DATE: </t>
  </si>
  <si>
    <t>REVISED ON:</t>
  </si>
  <si>
    <t>Sl No</t>
  </si>
  <si>
    <t>ITEM</t>
  </si>
  <si>
    <t>PO</t>
  </si>
  <si>
    <t>STYLE</t>
  </si>
  <si>
    <t>PLY</t>
  </si>
  <si>
    <t>QTY</t>
  </si>
  <si>
    <t>UNIT</t>
  </si>
  <si>
    <t>UNIT PRICE</t>
  </si>
  <si>
    <t>TTL VALUE</t>
  </si>
  <si>
    <t>REMARK</t>
  </si>
  <si>
    <t>Length</t>
  </si>
  <si>
    <t>Width</t>
  </si>
  <si>
    <t>Height</t>
  </si>
  <si>
    <t>CARTON</t>
  </si>
  <si>
    <t>PCS</t>
  </si>
  <si>
    <t>TTL</t>
  </si>
  <si>
    <t>Terms &amp; Condition:</t>
  </si>
  <si>
    <t>* Please send two copies of your invoice.</t>
  </si>
  <si>
    <t>* Enter this order in accordance with the prices, terms, delivery method, and specifications listed above.</t>
  </si>
  <si>
    <t>* Please notify us immediately if you are unable to ship as specified.</t>
  </si>
  <si>
    <t>* Send all correspondence to:</t>
  </si>
  <si>
    <t>* Delivery tollarance +/- 0%</t>
  </si>
  <si>
    <t>* Mention our boking number into the PI &amp; delivery chalan</t>
  </si>
  <si>
    <t>DELIVERY POINT:</t>
  </si>
  <si>
    <t xml:space="preserve">Tongi Factory </t>
  </si>
  <si>
    <t>Ratan AR</t>
  </si>
  <si>
    <t>Prokash</t>
  </si>
  <si>
    <t>Prepared by</t>
  </si>
  <si>
    <t>Checked by</t>
  </si>
  <si>
    <t>Re-checked  by</t>
  </si>
  <si>
    <t xml:space="preserve">Authorized by </t>
  </si>
  <si>
    <t>DIMENSION IN INCH</t>
  </si>
  <si>
    <t>Rimon</t>
  </si>
  <si>
    <t>Need delivery 5/6/21</t>
  </si>
  <si>
    <t>ORDER REF:-21/2101</t>
  </si>
  <si>
    <t>Mr. Rajib</t>
  </si>
  <si>
    <t>Zaber &amp; Zubayer Accessories</t>
  </si>
  <si>
    <t>BUYER: TH Nov-21</t>
  </si>
  <si>
    <t>AMAZON</t>
  </si>
  <si>
    <t>MARSHALLS</t>
  </si>
  <si>
    <t>TJ MAXX</t>
  </si>
  <si>
    <t>MARINES</t>
  </si>
  <si>
    <t>HOUSE</t>
  </si>
  <si>
    <t>BOSCOVS</t>
  </si>
  <si>
    <t>MARSHALL</t>
  </si>
  <si>
    <t>TJMAXX</t>
  </si>
  <si>
    <t>R87T620-710</t>
  </si>
  <si>
    <t>R87T626-700</t>
  </si>
  <si>
    <t>R87T626-703</t>
  </si>
  <si>
    <t>R87T620-TSLANT TONE&amp; NB</t>
  </si>
  <si>
    <t>R87T620-ZINFANDELBLK</t>
  </si>
  <si>
    <t>R87T626-H GREY &amp; NAVY B</t>
  </si>
  <si>
    <t>As per Shipping Mark</t>
  </si>
  <si>
    <t>R95T600-TFLAG HSTACK HG  (DC-894,PCS 343)</t>
  </si>
  <si>
    <t>R95T600-TFLAG HSTACK HG  (DC-896,PCS 477)</t>
  </si>
  <si>
    <t>R95T603-GLB STRP HEART  (DC-894,PCS 343)</t>
  </si>
  <si>
    <t>R95T603-GLB STRP HEART  (DC-896,PCS 477)</t>
  </si>
  <si>
    <t>R95T604-TH AND FLAG ZIN  (DC-894,PCS 343)</t>
  </si>
  <si>
    <t>R95T604-TH AND FLAG ZIN  (DC-896,PCS 477)</t>
  </si>
  <si>
    <t>R95T604-TONAL TH NB  (DC-894,PCS 343)</t>
  </si>
  <si>
    <t>R95T604-TONAL TH NB  (DC-896,PCS 477)</t>
  </si>
  <si>
    <t>R95T673-LG TARTAN NB  (DC-892,PCS 410)</t>
  </si>
  <si>
    <t>R95T673-VARSITY H  (DC-892,PCS 410)</t>
  </si>
  <si>
    <t>Purchase Order
PLOT#D-204, 205 AND 206, BSCIC INDUSTRIAL AREA, TONGI , GAZIPUR - 1710, BANGLADESH,
Tel: +8802-9817545, Email: babu@everfashionltd.com</t>
  </si>
  <si>
    <t>R95T600-TFLAG HSTACK HG</t>
  </si>
  <si>
    <t>R95T603-HILFIGER STR BW</t>
  </si>
  <si>
    <t>R95T604-TH AND FLAG ZIN</t>
  </si>
  <si>
    <t>R95T604-TH SLT LOGO HG</t>
  </si>
  <si>
    <t>R95T604-TONAL TH NB</t>
  </si>
  <si>
    <t>R95T673-LG TARTAN NB</t>
  </si>
  <si>
    <t>R95T673-VARSITY H</t>
  </si>
  <si>
    <t>Customer</t>
  </si>
  <si>
    <t>Projected qty</t>
  </si>
  <si>
    <t>Color</t>
  </si>
  <si>
    <t>CTN qty</t>
  </si>
  <si>
    <t>Pcs</t>
  </si>
  <si>
    <t>Total</t>
  </si>
  <si>
    <t xml:space="preserve">Ctn Qty </t>
  </si>
  <si>
    <t>House</t>
  </si>
  <si>
    <t>Carton</t>
  </si>
  <si>
    <t>Please follow the shipping marks</t>
  </si>
  <si>
    <t>BUYER:</t>
  </si>
  <si>
    <t>Tel: +8802-224411512</t>
  </si>
  <si>
    <t>Purchase Order
PLOT#D-204, 205 AND 206, BSCIC INDUSTRIAL AREA, TONGI , GAZIPUR - 1710, BANGLADESH,
Tel: +8802-224411512, Email: babu@everfashionltd.com</t>
  </si>
  <si>
    <t>Navy</t>
  </si>
  <si>
    <t>Need qty</t>
  </si>
  <si>
    <t>DIMENSION IN CM</t>
  </si>
  <si>
    <t>Scrab Green Mar</t>
  </si>
  <si>
    <t>TEDTK0023</t>
  </si>
  <si>
    <t>(TK Maxx)</t>
  </si>
  <si>
    <t>1407266 / 50382814</t>
  </si>
  <si>
    <t>Z&amp;Z</t>
  </si>
  <si>
    <t>AW26 TKMAXX Ted Baker Nightwear-26</t>
  </si>
  <si>
    <t>Mr. Imran</t>
  </si>
  <si>
    <t>Mr. Asad</t>
  </si>
  <si>
    <t>Mr. Nahid</t>
  </si>
  <si>
    <t>1st Checked by</t>
  </si>
  <si>
    <t>Final Checked by</t>
  </si>
  <si>
    <t>ORDER REF: EF/PO-26/1548ADD</t>
  </si>
  <si>
    <t>ORDER DATE: 06/17/2026</t>
  </si>
  <si>
    <t>DELIVERY DATE: 06/17/2026</t>
  </si>
  <si>
    <r>
      <t xml:space="preserve">CARTON
 Purchase Order
</t>
    </r>
    <r>
      <rPr>
        <sz val="12"/>
        <color rgb="FFFF0000"/>
        <rFont val="Arial"/>
        <family val="2"/>
      </rPr>
      <t>Urgent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</si>
</sst>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&quot;$&quot;#,##0.00"/>
    <numFmt numFmtId="166" formatCode="&quot;US$&quot;#,##0.00_);[Red]\(&quot;US$&quot;#,##0.00\)"/>
  </numFmts>
  <fonts count="34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u/>
      <sz val="12"/>
      <color indexed="8"/>
      <name val="Arial"/>
      <family val="2"/>
    </font>
    <font>
      <sz val="12"/>
      <color indexed="23"/>
      <name val="Arial"/>
      <family val="2"/>
    </font>
    <font>
      <b/>
      <sz val="12"/>
      <color indexed="8"/>
      <name val="Bradley Hand ITC"/>
      <family val="4"/>
    </font>
    <font>
      <sz val="10"/>
      <name val="Arial"/>
      <family val="2"/>
    </font>
    <font>
      <sz val="12"/>
      <color indexed="55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Bradley Hand ITC"/>
      <family val="4"/>
    </font>
    <font>
      <u/>
      <sz val="12"/>
      <color theme="1"/>
      <name val="Arial"/>
      <family val="2"/>
    </font>
    <font>
      <i/>
      <sz val="12"/>
      <name val="Arial"/>
      <family val="2"/>
    </font>
    <font>
      <b/>
      <sz val="12"/>
      <name val="Lucida Sans"/>
      <family val="2"/>
    </font>
    <font>
      <b/>
      <sz val="10"/>
      <name val="Lucida Sans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  <font>
      <i/>
      <sz val="14"/>
      <name val="Arial"/>
      <family val="2"/>
    </font>
    <font>
      <sz val="14"/>
      <color theme="1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4"/>
      <color indexed="8"/>
      <name val="Cambria"/>
      <family val="1"/>
      <scheme val="major"/>
    </font>
    <font>
      <b/>
      <sz val="14"/>
      <color theme="1"/>
      <name val="Cambria"/>
      <family val="1"/>
      <scheme val="major"/>
    </font>
    <font>
      <u/>
      <sz val="14"/>
      <color theme="1"/>
      <name val="Cambria"/>
      <family val="1"/>
      <scheme val="major"/>
    </font>
    <font>
      <u/>
      <sz val="14"/>
      <color indexed="8"/>
      <name val="Arial"/>
      <family val="2"/>
    </font>
    <font>
      <sz val="12"/>
      <name val="Arial"/>
      <family val="2"/>
    </font>
    <font>
      <sz val="12"/>
      <name val="Lucida Sans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95">
    <xf numFmtId="0" fontId="0" fillId="0" borderId="0" xfId="0"/>
    <xf numFmtId="0" fontId="1" fillId="0" borderId="6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0" xfId="0" applyFont="1"/>
    <xf numFmtId="0" fontId="11" fillId="5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0" fontId="12" fillId="0" borderId="6" xfId="0" applyFont="1" applyBorder="1"/>
    <xf numFmtId="166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2" fillId="0" borderId="0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5" fillId="0" borderId="13" xfId="0" applyFont="1" applyBorder="1"/>
    <xf numFmtId="0" fontId="16" fillId="0" borderId="0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1" fillId="5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 wrapText="1"/>
    </xf>
    <xf numFmtId="3" fontId="11" fillId="5" borderId="10" xfId="0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vertical="center" wrapText="1"/>
    </xf>
    <xf numFmtId="0" fontId="11" fillId="0" borderId="15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 wrapText="1"/>
    </xf>
    <xf numFmtId="3" fontId="11" fillId="5" borderId="15" xfId="0" applyNumberFormat="1" applyFont="1" applyFill="1" applyBorder="1" applyAlignment="1">
      <alignment vertical="center"/>
    </xf>
    <xf numFmtId="0" fontId="5" fillId="4" borderId="15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 wrapText="1"/>
    </xf>
    <xf numFmtId="3" fontId="11" fillId="5" borderId="11" xfId="0" applyNumberFormat="1" applyFont="1" applyFill="1" applyBorder="1" applyAlignment="1">
      <alignment vertical="center"/>
    </xf>
    <xf numFmtId="0" fontId="11" fillId="5" borderId="10" xfId="0" applyNumberFormat="1" applyFont="1" applyFill="1" applyBorder="1" applyAlignment="1">
      <alignment vertical="center" wrapText="1"/>
    </xf>
    <xf numFmtId="0" fontId="11" fillId="5" borderId="15" xfId="0" applyNumberFormat="1" applyFont="1" applyFill="1" applyBorder="1" applyAlignment="1">
      <alignment vertical="center" wrapText="1"/>
    </xf>
    <xf numFmtId="0" fontId="11" fillId="5" borderId="11" xfId="0" applyNumberFormat="1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vertical="center"/>
    </xf>
    <xf numFmtId="0" fontId="0" fillId="0" borderId="6" xfId="0" applyBorder="1"/>
    <xf numFmtId="1" fontId="0" fillId="0" borderId="6" xfId="0" applyNumberFormat="1" applyBorder="1"/>
    <xf numFmtId="0" fontId="18" fillId="5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64" fontId="1" fillId="0" borderId="6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22" fillId="0" borderId="0" xfId="0" applyFont="1"/>
    <xf numFmtId="0" fontId="23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5" fillId="0" borderId="0" xfId="0" applyFont="1"/>
    <xf numFmtId="0" fontId="26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28" fillId="0" borderId="13" xfId="0" applyFont="1" applyBorder="1" applyAlignment="1">
      <alignment horizontal="center"/>
    </xf>
    <xf numFmtId="0" fontId="29" fillId="0" borderId="0" xfId="0" applyFont="1" applyBorder="1"/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31" fillId="5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30" fillId="0" borderId="8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19" fillId="8" borderId="10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</cellXfs>
  <cellStyles count="6">
    <cellStyle name="Normal" xfId="0" builtinId="0"/>
    <cellStyle name="Normal 10" xfId="4"/>
    <cellStyle name="Normal 2" xfId="1"/>
    <cellStyle name="Normal 22" xfId="5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174997</xdr:colOff>
      <xdr:row>0</xdr:row>
      <xdr:rowOff>704850</xdr:rowOff>
    </xdr:to>
    <xdr:pic>
      <xdr:nvPicPr>
        <xdr:cNvPr id="2" name="Picture 1" descr="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1584697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158751</xdr:colOff>
      <xdr:row>0</xdr:row>
      <xdr:rowOff>21738</xdr:rowOff>
    </xdr:from>
    <xdr:to>
      <xdr:col>15</xdr:col>
      <xdr:colOff>1133848</xdr:colOff>
      <xdr:row>0</xdr:row>
      <xdr:rowOff>707538</xdr:rowOff>
    </xdr:to>
    <xdr:pic>
      <xdr:nvPicPr>
        <xdr:cNvPr id="3" name="Picture 2" descr="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51443" y="21738"/>
          <a:ext cx="1585674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8"/>
  <sheetViews>
    <sheetView view="pageBreakPreview" topLeftCell="M44" zoomScaleSheetLayoutView="100" workbookViewId="0">
      <selection activeCell="AA57" sqref="AA57"/>
    </sheetView>
  </sheetViews>
  <sheetFormatPr defaultRowHeight="15.75" x14ac:dyDescent="0.25"/>
  <cols>
    <col min="1" max="1" width="10" style="15" bestFit="1" customWidth="1"/>
    <col min="2" max="2" width="11.140625" style="15" customWidth="1"/>
    <col min="3" max="3" width="23.7109375" style="40" customWidth="1"/>
    <col min="4" max="4" width="23.7109375" style="15" customWidth="1"/>
    <col min="5" max="5" width="11.85546875" style="15" customWidth="1"/>
    <col min="6" max="19" width="8.85546875" style="15" customWidth="1"/>
    <col min="20" max="20" width="7.28515625" style="15" customWidth="1"/>
    <col min="21" max="23" width="9.42578125" style="15" customWidth="1"/>
    <col min="24" max="24" width="9" style="15" customWidth="1"/>
    <col min="25" max="25" width="12.5703125" style="15" customWidth="1"/>
    <col min="26" max="27" width="11.7109375" style="15" customWidth="1"/>
    <col min="28" max="28" width="12.85546875" style="15" customWidth="1"/>
    <col min="29" max="29" width="16.140625" style="15" customWidth="1"/>
    <col min="30" max="16384" width="9.140625" style="15"/>
  </cols>
  <sheetData>
    <row r="1" spans="1:29" s="2" customFormat="1" ht="57" customHeight="1" x14ac:dyDescent="0.2">
      <c r="A1" s="145" t="s">
        <v>75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7"/>
    </row>
    <row r="2" spans="1:29" s="2" customFormat="1" ht="15" hidden="1" customHeight="1" x14ac:dyDescent="0.2">
      <c r="A2" s="17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8"/>
    </row>
    <row r="3" spans="1:29" s="2" customFormat="1" ht="24" customHeight="1" x14ac:dyDescent="0.2">
      <c r="A3" s="1" t="s">
        <v>0</v>
      </c>
      <c r="B3" s="148" t="s">
        <v>48</v>
      </c>
      <c r="C3" s="148"/>
      <c r="D3" s="149" t="s">
        <v>1</v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1"/>
      <c r="Z3" s="158" t="s">
        <v>2</v>
      </c>
      <c r="AA3" s="159"/>
      <c r="AB3" s="159"/>
      <c r="AC3" s="160"/>
    </row>
    <row r="4" spans="1:29" s="2" customFormat="1" ht="13.5" customHeight="1" x14ac:dyDescent="0.2">
      <c r="A4" s="161" t="s">
        <v>3</v>
      </c>
      <c r="B4" s="148" t="s">
        <v>47</v>
      </c>
      <c r="C4" s="148"/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4"/>
      <c r="Z4" s="163" t="s">
        <v>4</v>
      </c>
      <c r="AA4" s="164"/>
      <c r="AB4" s="164"/>
      <c r="AC4" s="165"/>
    </row>
    <row r="5" spans="1:29" s="2" customFormat="1" ht="13.5" customHeight="1" x14ac:dyDescent="0.2">
      <c r="A5" s="162"/>
      <c r="B5" s="148"/>
      <c r="C5" s="148"/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4"/>
      <c r="Z5" s="132" t="s">
        <v>5</v>
      </c>
      <c r="AA5" s="133"/>
      <c r="AB5" s="133"/>
      <c r="AC5" s="134"/>
    </row>
    <row r="6" spans="1:29" s="2" customFormat="1" ht="14.25" customHeight="1" x14ac:dyDescent="0.25">
      <c r="A6" s="166" t="s">
        <v>49</v>
      </c>
      <c r="B6" s="166"/>
      <c r="C6" s="166"/>
      <c r="D6" s="155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7"/>
      <c r="Z6" s="132" t="s">
        <v>6</v>
      </c>
      <c r="AA6" s="133"/>
      <c r="AB6" s="133"/>
      <c r="AC6" s="134"/>
    </row>
    <row r="7" spans="1:29" s="2" customFormat="1" ht="18.75" customHeight="1" x14ac:dyDescent="0.2">
      <c r="A7" s="122" t="s">
        <v>46</v>
      </c>
      <c r="B7" s="122"/>
      <c r="C7" s="122"/>
      <c r="D7" s="123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5"/>
      <c r="Z7" s="132" t="s">
        <v>7</v>
      </c>
      <c r="AA7" s="133"/>
      <c r="AB7" s="133"/>
      <c r="AC7" s="134"/>
    </row>
    <row r="8" spans="1:29" s="2" customFormat="1" ht="16.5" customHeight="1" x14ac:dyDescent="0.2">
      <c r="A8" s="135" t="s">
        <v>8</v>
      </c>
      <c r="B8" s="136"/>
      <c r="C8" s="19">
        <v>44318</v>
      </c>
      <c r="D8" s="126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8"/>
      <c r="Z8" s="137" t="s">
        <v>9</v>
      </c>
      <c r="AA8" s="138"/>
      <c r="AB8" s="138"/>
      <c r="AC8" s="139"/>
    </row>
    <row r="9" spans="1:29" s="2" customFormat="1" ht="18.75" customHeight="1" x14ac:dyDescent="0.2">
      <c r="A9" s="140" t="s">
        <v>10</v>
      </c>
      <c r="B9" s="141"/>
      <c r="C9" s="19">
        <v>44322</v>
      </c>
      <c r="D9" s="129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1"/>
      <c r="Z9" s="142"/>
      <c r="AA9" s="143"/>
      <c r="AB9" s="143"/>
      <c r="AC9" s="144"/>
    </row>
    <row r="10" spans="1:29" s="2" customFormat="1" x14ac:dyDescent="0.2">
      <c r="A10" s="167" t="s">
        <v>11</v>
      </c>
      <c r="B10" s="167"/>
      <c r="C10" s="20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21"/>
    </row>
    <row r="11" spans="1:29" ht="31.5" customHeight="1" x14ac:dyDescent="0.25">
      <c r="A11" s="61" t="s">
        <v>12</v>
      </c>
      <c r="B11" s="61" t="s">
        <v>13</v>
      </c>
      <c r="C11" s="61" t="s">
        <v>14</v>
      </c>
      <c r="D11" s="61" t="s">
        <v>15</v>
      </c>
      <c r="E11" s="62" t="s">
        <v>83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62" t="s">
        <v>84</v>
      </c>
      <c r="U11" s="61" t="s">
        <v>43</v>
      </c>
      <c r="V11" s="61"/>
      <c r="W11" s="61"/>
      <c r="X11" s="62" t="s">
        <v>16</v>
      </c>
      <c r="Y11" s="61" t="s">
        <v>17</v>
      </c>
      <c r="Z11" s="61" t="s">
        <v>18</v>
      </c>
      <c r="AA11" s="61" t="s">
        <v>19</v>
      </c>
      <c r="AB11" s="61" t="s">
        <v>20</v>
      </c>
      <c r="AC11" s="61" t="s">
        <v>21</v>
      </c>
    </row>
    <row r="12" spans="1:29" ht="18" customHeight="1" x14ac:dyDescent="0.25">
      <c r="A12" s="61"/>
      <c r="B12" s="61"/>
      <c r="C12" s="61"/>
      <c r="D12" s="61"/>
      <c r="E12" s="6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63"/>
      <c r="U12" s="42" t="s">
        <v>22</v>
      </c>
      <c r="V12" s="42" t="s">
        <v>23</v>
      </c>
      <c r="W12" s="42" t="s">
        <v>24</v>
      </c>
      <c r="X12" s="63"/>
      <c r="Y12" s="61"/>
      <c r="Z12" s="61"/>
      <c r="AA12" s="61"/>
      <c r="AB12" s="61"/>
      <c r="AC12" s="61"/>
    </row>
    <row r="13" spans="1:29" ht="38.25" customHeight="1" x14ac:dyDescent="0.25">
      <c r="A13" s="42">
        <v>1</v>
      </c>
      <c r="B13" s="45" t="s">
        <v>25</v>
      </c>
      <c r="C13" s="46">
        <v>156848</v>
      </c>
      <c r="D13" s="16" t="s">
        <v>58</v>
      </c>
      <c r="E13" s="47" t="s">
        <v>50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>
        <v>337.62</v>
      </c>
      <c r="U13" s="22">
        <v>17.5</v>
      </c>
      <c r="V13" s="22">
        <v>15</v>
      </c>
      <c r="W13" s="22">
        <v>3</v>
      </c>
      <c r="X13" s="23">
        <v>3</v>
      </c>
      <c r="Y13" s="24">
        <v>105</v>
      </c>
      <c r="Z13" s="23" t="s">
        <v>26</v>
      </c>
      <c r="AA13" s="42"/>
      <c r="AB13" s="42"/>
      <c r="AC13" s="49" t="s">
        <v>45</v>
      </c>
    </row>
    <row r="14" spans="1:29" ht="38.25" customHeight="1" x14ac:dyDescent="0.25">
      <c r="A14" s="42">
        <f>1+A13</f>
        <v>2</v>
      </c>
      <c r="B14" s="50"/>
      <c r="C14" s="51"/>
      <c r="D14" s="16" t="s">
        <v>59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22">
        <v>17.5</v>
      </c>
      <c r="V14" s="22">
        <v>15</v>
      </c>
      <c r="W14" s="22">
        <v>3</v>
      </c>
      <c r="X14" s="23">
        <v>3</v>
      </c>
      <c r="Y14" s="24">
        <v>105</v>
      </c>
      <c r="Z14" s="23" t="s">
        <v>26</v>
      </c>
      <c r="AA14" s="42"/>
      <c r="AB14" s="42"/>
      <c r="AC14" s="54"/>
    </row>
    <row r="15" spans="1:29" ht="38.25" customHeight="1" x14ac:dyDescent="0.25">
      <c r="A15" s="42">
        <f t="shared" ref="A15:A41" si="0">1+A14</f>
        <v>3</v>
      </c>
      <c r="B15" s="50"/>
      <c r="C15" s="55"/>
      <c r="D15" s="16" t="s">
        <v>60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7"/>
      <c r="U15" s="22">
        <v>17.5</v>
      </c>
      <c r="V15" s="22">
        <v>15</v>
      </c>
      <c r="W15" s="22">
        <v>3</v>
      </c>
      <c r="X15" s="23">
        <v>3</v>
      </c>
      <c r="Y15" s="24">
        <v>140</v>
      </c>
      <c r="Z15" s="23" t="s">
        <v>26</v>
      </c>
      <c r="AA15" s="42"/>
      <c r="AB15" s="42"/>
      <c r="AC15" s="54"/>
    </row>
    <row r="16" spans="1:29" ht="38.25" customHeight="1" x14ac:dyDescent="0.25">
      <c r="A16" s="42">
        <f t="shared" si="0"/>
        <v>4</v>
      </c>
      <c r="B16" s="50"/>
      <c r="C16" s="46">
        <v>156851</v>
      </c>
      <c r="D16" s="16" t="s">
        <v>61</v>
      </c>
      <c r="E16" s="47" t="s">
        <v>51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>
        <v>1020</v>
      </c>
      <c r="U16" s="25">
        <v>17.5</v>
      </c>
      <c r="V16" s="25">
        <v>15</v>
      </c>
      <c r="W16" s="25">
        <v>4</v>
      </c>
      <c r="X16" s="23">
        <v>3</v>
      </c>
      <c r="Y16" s="24">
        <v>406</v>
      </c>
      <c r="Z16" s="23" t="s">
        <v>26</v>
      </c>
      <c r="AA16" s="42"/>
      <c r="AB16" s="42"/>
      <c r="AC16" s="54"/>
    </row>
    <row r="17" spans="1:29" ht="38.25" customHeight="1" x14ac:dyDescent="0.25">
      <c r="A17" s="42">
        <f t="shared" si="0"/>
        <v>5</v>
      </c>
      <c r="B17" s="50"/>
      <c r="C17" s="51"/>
      <c r="D17" s="16" t="s">
        <v>62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25">
        <v>17.5</v>
      </c>
      <c r="V17" s="25">
        <v>15</v>
      </c>
      <c r="W17" s="25">
        <v>4</v>
      </c>
      <c r="X17" s="23">
        <v>3</v>
      </c>
      <c r="Y17" s="24">
        <v>406</v>
      </c>
      <c r="Z17" s="23" t="s">
        <v>26</v>
      </c>
      <c r="AA17" s="42"/>
      <c r="AB17" s="42"/>
      <c r="AC17" s="54"/>
    </row>
    <row r="18" spans="1:29" ht="38.25" customHeight="1" x14ac:dyDescent="0.25">
      <c r="A18" s="42">
        <f t="shared" si="0"/>
        <v>6</v>
      </c>
      <c r="B18" s="50"/>
      <c r="C18" s="55"/>
      <c r="D18" s="16" t="s">
        <v>63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7"/>
      <c r="U18" s="25">
        <v>17.5</v>
      </c>
      <c r="V18" s="25">
        <v>15</v>
      </c>
      <c r="W18" s="25">
        <v>4</v>
      </c>
      <c r="X18" s="23">
        <v>3</v>
      </c>
      <c r="Y18" s="24">
        <v>206</v>
      </c>
      <c r="Z18" s="23" t="s">
        <v>26</v>
      </c>
      <c r="AA18" s="42"/>
      <c r="AB18" s="42"/>
      <c r="AC18" s="54"/>
    </row>
    <row r="19" spans="1:29" ht="38.25" customHeight="1" x14ac:dyDescent="0.25">
      <c r="A19" s="42">
        <f t="shared" si="0"/>
        <v>7</v>
      </c>
      <c r="B19" s="50"/>
      <c r="C19" s="46">
        <v>156852</v>
      </c>
      <c r="D19" s="16" t="s">
        <v>61</v>
      </c>
      <c r="E19" s="47" t="s">
        <v>52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>
        <v>1020</v>
      </c>
      <c r="U19" s="25">
        <v>17.5</v>
      </c>
      <c r="V19" s="25">
        <v>15</v>
      </c>
      <c r="W19" s="25">
        <v>4</v>
      </c>
      <c r="X19" s="23">
        <v>3</v>
      </c>
      <c r="Y19" s="24">
        <v>406</v>
      </c>
      <c r="Z19" s="23" t="s">
        <v>26</v>
      </c>
      <c r="AA19" s="42"/>
      <c r="AB19" s="42"/>
      <c r="AC19" s="54"/>
    </row>
    <row r="20" spans="1:29" ht="38.25" customHeight="1" x14ac:dyDescent="0.25">
      <c r="A20" s="42">
        <f t="shared" si="0"/>
        <v>8</v>
      </c>
      <c r="B20" s="50"/>
      <c r="C20" s="51"/>
      <c r="D20" s="16" t="s">
        <v>62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25">
        <v>17.5</v>
      </c>
      <c r="V20" s="25">
        <v>15</v>
      </c>
      <c r="W20" s="25">
        <v>4</v>
      </c>
      <c r="X20" s="23">
        <v>3</v>
      </c>
      <c r="Y20" s="24">
        <v>406</v>
      </c>
      <c r="Z20" s="23" t="s">
        <v>26</v>
      </c>
      <c r="AA20" s="42"/>
      <c r="AB20" s="42"/>
      <c r="AC20" s="54"/>
    </row>
    <row r="21" spans="1:29" ht="38.25" customHeight="1" x14ac:dyDescent="0.25">
      <c r="A21" s="42">
        <f t="shared" si="0"/>
        <v>9</v>
      </c>
      <c r="B21" s="50"/>
      <c r="C21" s="55"/>
      <c r="D21" s="16" t="s">
        <v>63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7"/>
      <c r="U21" s="25">
        <v>17.5</v>
      </c>
      <c r="V21" s="25">
        <v>15</v>
      </c>
      <c r="W21" s="25">
        <v>4</v>
      </c>
      <c r="X21" s="23">
        <v>3</v>
      </c>
      <c r="Y21" s="24">
        <v>206</v>
      </c>
      <c r="Z21" s="23" t="s">
        <v>26</v>
      </c>
      <c r="AA21" s="42"/>
      <c r="AB21" s="42"/>
      <c r="AC21" s="54"/>
    </row>
    <row r="22" spans="1:29" ht="38.25" customHeight="1" x14ac:dyDescent="0.25">
      <c r="A22" s="42">
        <f t="shared" si="0"/>
        <v>10</v>
      </c>
      <c r="B22" s="50"/>
      <c r="C22" s="26">
        <v>156853</v>
      </c>
      <c r="D22" s="16" t="s">
        <v>64</v>
      </c>
      <c r="E22" s="16" t="s">
        <v>53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3">
        <v>30.6</v>
      </c>
      <c r="U22" s="22">
        <v>17.5</v>
      </c>
      <c r="V22" s="22">
        <v>15</v>
      </c>
      <c r="W22" s="22">
        <v>3</v>
      </c>
      <c r="X22" s="23">
        <v>3</v>
      </c>
      <c r="Y22" s="24">
        <v>43</v>
      </c>
      <c r="Z22" s="23" t="s">
        <v>26</v>
      </c>
      <c r="AA22" s="42"/>
      <c r="AB22" s="42"/>
      <c r="AC22" s="54"/>
    </row>
    <row r="23" spans="1:29" ht="38.25" customHeight="1" x14ac:dyDescent="0.25">
      <c r="A23" s="42">
        <f t="shared" si="0"/>
        <v>11</v>
      </c>
      <c r="B23" s="50"/>
      <c r="C23" s="26">
        <v>156854</v>
      </c>
      <c r="D23" s="16" t="s">
        <v>60</v>
      </c>
      <c r="E23" s="16" t="s">
        <v>54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3">
        <v>336.6</v>
      </c>
      <c r="U23" s="22">
        <v>17.5</v>
      </c>
      <c r="V23" s="22">
        <v>15</v>
      </c>
      <c r="W23" s="22">
        <v>3</v>
      </c>
      <c r="X23" s="23">
        <v>3</v>
      </c>
      <c r="Y23" s="24">
        <v>337</v>
      </c>
      <c r="Z23" s="23" t="s">
        <v>26</v>
      </c>
      <c r="AA23" s="42"/>
      <c r="AB23" s="42"/>
      <c r="AC23" s="54"/>
    </row>
    <row r="24" spans="1:29" ht="38.25" customHeight="1" x14ac:dyDescent="0.25">
      <c r="A24" s="42">
        <f t="shared" si="0"/>
        <v>12</v>
      </c>
      <c r="B24" s="50"/>
      <c r="C24" s="26">
        <v>156856</v>
      </c>
      <c r="D24" s="16" t="s">
        <v>64</v>
      </c>
      <c r="E24" s="16" t="s">
        <v>55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3">
        <v>19.38</v>
      </c>
      <c r="U24" s="22">
        <v>17.5</v>
      </c>
      <c r="V24" s="22">
        <v>15</v>
      </c>
      <c r="W24" s="22">
        <v>3</v>
      </c>
      <c r="X24" s="23">
        <v>3</v>
      </c>
      <c r="Y24" s="24">
        <v>21</v>
      </c>
      <c r="Z24" s="23" t="s">
        <v>26</v>
      </c>
      <c r="AA24" s="42"/>
      <c r="AB24" s="42"/>
      <c r="AC24" s="54"/>
    </row>
    <row r="25" spans="1:29" ht="38.25" customHeight="1" x14ac:dyDescent="0.25">
      <c r="A25" s="42">
        <f t="shared" si="0"/>
        <v>13</v>
      </c>
      <c r="B25" s="50"/>
      <c r="C25" s="58">
        <v>157408</v>
      </c>
      <c r="D25" s="16" t="s">
        <v>76</v>
      </c>
      <c r="E25" s="47" t="s">
        <v>56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>
        <v>4488</v>
      </c>
      <c r="U25" s="25">
        <v>17.5</v>
      </c>
      <c r="V25" s="25">
        <v>15</v>
      </c>
      <c r="W25" s="25">
        <v>4</v>
      </c>
      <c r="X25" s="23">
        <v>3</v>
      </c>
      <c r="Y25" s="24">
        <v>810</v>
      </c>
      <c r="Z25" s="23" t="s">
        <v>26</v>
      </c>
      <c r="AA25" s="42"/>
      <c r="AB25" s="42"/>
      <c r="AC25" s="54"/>
    </row>
    <row r="26" spans="1:29" ht="38.25" customHeight="1" x14ac:dyDescent="0.25">
      <c r="A26" s="42">
        <f t="shared" si="0"/>
        <v>14</v>
      </c>
      <c r="B26" s="50"/>
      <c r="C26" s="59"/>
      <c r="D26" s="16" t="s">
        <v>77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25">
        <v>17.5</v>
      </c>
      <c r="V26" s="25">
        <v>15</v>
      </c>
      <c r="W26" s="25">
        <v>4</v>
      </c>
      <c r="X26" s="23">
        <v>3</v>
      </c>
      <c r="Y26" s="24">
        <v>810</v>
      </c>
      <c r="Z26" s="23" t="s">
        <v>26</v>
      </c>
      <c r="AA26" s="42"/>
      <c r="AB26" s="42"/>
      <c r="AC26" s="54"/>
    </row>
    <row r="27" spans="1:29" ht="38.25" customHeight="1" x14ac:dyDescent="0.25">
      <c r="A27" s="42">
        <f t="shared" si="0"/>
        <v>15</v>
      </c>
      <c r="B27" s="50"/>
      <c r="C27" s="59"/>
      <c r="D27" s="16" t="s">
        <v>78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25">
        <v>17.5</v>
      </c>
      <c r="V27" s="25">
        <v>15</v>
      </c>
      <c r="W27" s="25">
        <v>4</v>
      </c>
      <c r="X27" s="23">
        <v>3</v>
      </c>
      <c r="Y27" s="24">
        <v>805</v>
      </c>
      <c r="Z27" s="23" t="s">
        <v>26</v>
      </c>
      <c r="AA27" s="42"/>
      <c r="AB27" s="42"/>
      <c r="AC27" s="54"/>
    </row>
    <row r="28" spans="1:29" ht="38.25" customHeight="1" x14ac:dyDescent="0.25">
      <c r="A28" s="42">
        <f t="shared" si="0"/>
        <v>16</v>
      </c>
      <c r="B28" s="50"/>
      <c r="C28" s="59"/>
      <c r="D28" s="16" t="s">
        <v>79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25">
        <v>17.5</v>
      </c>
      <c r="V28" s="25">
        <v>15</v>
      </c>
      <c r="W28" s="25">
        <v>4</v>
      </c>
      <c r="X28" s="23">
        <v>3</v>
      </c>
      <c r="Y28" s="24">
        <v>810</v>
      </c>
      <c r="Z28" s="23" t="s">
        <v>26</v>
      </c>
      <c r="AA28" s="42"/>
      <c r="AB28" s="42"/>
      <c r="AC28" s="54"/>
    </row>
    <row r="29" spans="1:29" ht="38.25" customHeight="1" x14ac:dyDescent="0.25">
      <c r="A29" s="42">
        <f t="shared" si="0"/>
        <v>17</v>
      </c>
      <c r="B29" s="50"/>
      <c r="C29" s="59"/>
      <c r="D29" s="16" t="s">
        <v>80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25">
        <v>17.5</v>
      </c>
      <c r="V29" s="25">
        <v>15</v>
      </c>
      <c r="W29" s="25">
        <v>4</v>
      </c>
      <c r="X29" s="23">
        <v>3</v>
      </c>
      <c r="Y29" s="24">
        <v>405</v>
      </c>
      <c r="Z29" s="23" t="s">
        <v>26</v>
      </c>
      <c r="AA29" s="42"/>
      <c r="AB29" s="42"/>
      <c r="AC29" s="54"/>
    </row>
    <row r="30" spans="1:29" ht="38.25" customHeight="1" x14ac:dyDescent="0.25">
      <c r="A30" s="42">
        <f t="shared" si="0"/>
        <v>18</v>
      </c>
      <c r="B30" s="50"/>
      <c r="C30" s="59"/>
      <c r="D30" s="16" t="s">
        <v>81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25">
        <v>17.5</v>
      </c>
      <c r="V30" s="25">
        <v>15</v>
      </c>
      <c r="W30" s="25">
        <v>4</v>
      </c>
      <c r="X30" s="23">
        <v>3</v>
      </c>
      <c r="Y30" s="24">
        <v>405</v>
      </c>
      <c r="Z30" s="23" t="s">
        <v>26</v>
      </c>
      <c r="AA30" s="42"/>
      <c r="AB30" s="42"/>
      <c r="AC30" s="54"/>
    </row>
    <row r="31" spans="1:29" ht="38.25" customHeight="1" x14ac:dyDescent="0.25">
      <c r="A31" s="42">
        <f t="shared" si="0"/>
        <v>19</v>
      </c>
      <c r="B31" s="50"/>
      <c r="C31" s="60"/>
      <c r="D31" s="16" t="s">
        <v>82</v>
      </c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7"/>
      <c r="U31" s="25">
        <v>17.5</v>
      </c>
      <c r="V31" s="25">
        <v>15</v>
      </c>
      <c r="W31" s="25">
        <v>4</v>
      </c>
      <c r="X31" s="23">
        <v>3</v>
      </c>
      <c r="Y31" s="24">
        <v>405</v>
      </c>
      <c r="Z31" s="23" t="s">
        <v>26</v>
      </c>
      <c r="AA31" s="42"/>
      <c r="AB31" s="42"/>
      <c r="AC31" s="54"/>
    </row>
    <row r="32" spans="1:29" ht="56.25" customHeight="1" x14ac:dyDescent="0.25">
      <c r="A32" s="42">
        <f t="shared" si="0"/>
        <v>20</v>
      </c>
      <c r="B32" s="50"/>
      <c r="C32" s="58">
        <v>157407</v>
      </c>
      <c r="D32" s="41" t="s">
        <v>65</v>
      </c>
      <c r="E32" s="47" t="s">
        <v>57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>
        <v>4080</v>
      </c>
      <c r="U32" s="25">
        <v>17.5</v>
      </c>
      <c r="V32" s="25">
        <v>15</v>
      </c>
      <c r="W32" s="25">
        <v>4</v>
      </c>
      <c r="X32" s="23">
        <v>3</v>
      </c>
      <c r="Y32" s="24">
        <v>343</v>
      </c>
      <c r="Z32" s="23" t="s">
        <v>26</v>
      </c>
      <c r="AA32" s="42"/>
      <c r="AB32" s="42"/>
      <c r="AC32" s="54"/>
    </row>
    <row r="33" spans="1:32" ht="53.25" customHeight="1" x14ac:dyDescent="0.25">
      <c r="A33" s="42">
        <f t="shared" si="0"/>
        <v>21</v>
      </c>
      <c r="B33" s="50"/>
      <c r="C33" s="59"/>
      <c r="D33" s="41" t="s">
        <v>66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25">
        <v>17.5</v>
      </c>
      <c r="V33" s="25">
        <v>15</v>
      </c>
      <c r="W33" s="25">
        <v>4</v>
      </c>
      <c r="X33" s="23">
        <v>3</v>
      </c>
      <c r="Y33" s="24">
        <v>477</v>
      </c>
      <c r="Z33" s="23" t="s">
        <v>26</v>
      </c>
      <c r="AA33" s="42"/>
      <c r="AB33" s="42"/>
      <c r="AC33" s="54"/>
    </row>
    <row r="34" spans="1:32" ht="51" customHeight="1" x14ac:dyDescent="0.25">
      <c r="A34" s="42">
        <f t="shared" si="0"/>
        <v>22</v>
      </c>
      <c r="B34" s="50"/>
      <c r="C34" s="59"/>
      <c r="D34" s="41" t="s">
        <v>67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25">
        <v>17.5</v>
      </c>
      <c r="V34" s="25">
        <v>15</v>
      </c>
      <c r="W34" s="25">
        <v>4</v>
      </c>
      <c r="X34" s="23">
        <v>3</v>
      </c>
      <c r="Y34" s="24">
        <v>343</v>
      </c>
      <c r="Z34" s="23" t="s">
        <v>26</v>
      </c>
      <c r="AA34" s="42"/>
      <c r="AB34" s="42"/>
      <c r="AC34" s="54"/>
    </row>
    <row r="35" spans="1:32" ht="38.25" customHeight="1" x14ac:dyDescent="0.25">
      <c r="A35" s="42">
        <f t="shared" si="0"/>
        <v>23</v>
      </c>
      <c r="B35" s="50"/>
      <c r="C35" s="59"/>
      <c r="D35" s="41" t="s">
        <v>68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25">
        <v>17.5</v>
      </c>
      <c r="V35" s="25">
        <v>15</v>
      </c>
      <c r="W35" s="25">
        <v>4</v>
      </c>
      <c r="X35" s="23">
        <v>3</v>
      </c>
      <c r="Y35" s="24">
        <v>477</v>
      </c>
      <c r="Z35" s="23" t="s">
        <v>26</v>
      </c>
      <c r="AA35" s="42"/>
      <c r="AB35" s="42"/>
      <c r="AC35" s="54"/>
    </row>
    <row r="36" spans="1:32" ht="38.25" customHeight="1" x14ac:dyDescent="0.25">
      <c r="A36" s="42">
        <f t="shared" si="0"/>
        <v>24</v>
      </c>
      <c r="B36" s="50"/>
      <c r="C36" s="59"/>
      <c r="D36" s="41" t="s">
        <v>69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25">
        <v>17.5</v>
      </c>
      <c r="V36" s="25">
        <v>15</v>
      </c>
      <c r="W36" s="25">
        <v>4</v>
      </c>
      <c r="X36" s="23">
        <v>3</v>
      </c>
      <c r="Y36" s="24">
        <v>343</v>
      </c>
      <c r="Z36" s="23" t="s">
        <v>26</v>
      </c>
      <c r="AA36" s="42"/>
      <c r="AB36" s="42"/>
      <c r="AC36" s="54"/>
    </row>
    <row r="37" spans="1:32" ht="38.25" customHeight="1" x14ac:dyDescent="0.25">
      <c r="A37" s="42">
        <f t="shared" si="0"/>
        <v>25</v>
      </c>
      <c r="B37" s="50"/>
      <c r="C37" s="59"/>
      <c r="D37" s="41" t="s">
        <v>70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25">
        <v>17.5</v>
      </c>
      <c r="V37" s="25">
        <v>15</v>
      </c>
      <c r="W37" s="25">
        <v>4</v>
      </c>
      <c r="X37" s="23">
        <v>3</v>
      </c>
      <c r="Y37" s="24">
        <v>477</v>
      </c>
      <c r="Z37" s="23" t="s">
        <v>26</v>
      </c>
      <c r="AA37" s="42"/>
      <c r="AB37" s="42"/>
      <c r="AC37" s="54"/>
    </row>
    <row r="38" spans="1:32" ht="38.25" customHeight="1" x14ac:dyDescent="0.25">
      <c r="A38" s="42">
        <f t="shared" si="0"/>
        <v>26</v>
      </c>
      <c r="B38" s="50"/>
      <c r="C38" s="59"/>
      <c r="D38" s="41" t="s">
        <v>71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25">
        <v>17.5</v>
      </c>
      <c r="V38" s="25">
        <v>15</v>
      </c>
      <c r="W38" s="25">
        <v>4</v>
      </c>
      <c r="X38" s="23">
        <v>3</v>
      </c>
      <c r="Y38" s="24">
        <v>341</v>
      </c>
      <c r="Z38" s="23" t="s">
        <v>26</v>
      </c>
      <c r="AA38" s="42"/>
      <c r="AB38" s="42"/>
      <c r="AC38" s="54"/>
    </row>
    <row r="39" spans="1:32" ht="38.25" customHeight="1" x14ac:dyDescent="0.25">
      <c r="A39" s="42">
        <f t="shared" si="0"/>
        <v>27</v>
      </c>
      <c r="B39" s="50"/>
      <c r="C39" s="59"/>
      <c r="D39" s="41" t="s">
        <v>72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25">
        <v>17.5</v>
      </c>
      <c r="V39" s="25">
        <v>15</v>
      </c>
      <c r="W39" s="25">
        <v>4</v>
      </c>
      <c r="X39" s="23">
        <v>3</v>
      </c>
      <c r="Y39" s="24">
        <v>477</v>
      </c>
      <c r="Z39" s="23" t="s">
        <v>26</v>
      </c>
      <c r="AA39" s="42"/>
      <c r="AB39" s="42"/>
      <c r="AC39" s="54"/>
    </row>
    <row r="40" spans="1:32" ht="38.25" customHeight="1" x14ac:dyDescent="0.25">
      <c r="A40" s="42">
        <f t="shared" si="0"/>
        <v>28</v>
      </c>
      <c r="B40" s="50"/>
      <c r="C40" s="59"/>
      <c r="D40" s="41" t="s">
        <v>73</v>
      </c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25">
        <v>17.5</v>
      </c>
      <c r="V40" s="25">
        <v>15</v>
      </c>
      <c r="W40" s="25">
        <v>4</v>
      </c>
      <c r="X40" s="23">
        <v>3</v>
      </c>
      <c r="Y40" s="24">
        <v>410</v>
      </c>
      <c r="Z40" s="23" t="s">
        <v>26</v>
      </c>
      <c r="AA40" s="42"/>
      <c r="AB40" s="42"/>
      <c r="AC40" s="54"/>
    </row>
    <row r="41" spans="1:32" ht="38.25" customHeight="1" x14ac:dyDescent="0.25">
      <c r="A41" s="42">
        <f t="shared" si="0"/>
        <v>29</v>
      </c>
      <c r="B41" s="50"/>
      <c r="C41" s="60"/>
      <c r="D41" s="41" t="s">
        <v>74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7"/>
      <c r="U41" s="25">
        <v>17.5</v>
      </c>
      <c r="V41" s="25">
        <v>15</v>
      </c>
      <c r="W41" s="25">
        <v>4</v>
      </c>
      <c r="X41" s="23">
        <v>3</v>
      </c>
      <c r="Y41" s="24">
        <v>410</v>
      </c>
      <c r="Z41" s="23" t="s">
        <v>26</v>
      </c>
      <c r="AA41" s="42"/>
      <c r="AB41" s="42"/>
      <c r="AC41" s="54"/>
    </row>
    <row r="42" spans="1:32" x14ac:dyDescent="0.25">
      <c r="A42" s="171" t="s">
        <v>27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3"/>
      <c r="Y42" s="27">
        <f>SUM(Y13:Y41)</f>
        <v>11335</v>
      </c>
      <c r="Z42" s="28" t="s">
        <v>26</v>
      </c>
      <c r="AA42" s="29"/>
      <c r="AB42" s="29" t="e">
        <f>SUM(#REF!)</f>
        <v>#REF!</v>
      </c>
      <c r="AC42" s="30"/>
    </row>
    <row r="43" spans="1:32" s="2" customFormat="1" ht="13.5" customHeight="1" x14ac:dyDescent="0.2">
      <c r="A43" s="174" t="s">
        <v>28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3"/>
      <c r="AA43" s="3"/>
      <c r="AB43" s="3"/>
      <c r="AC43" s="3"/>
      <c r="AD43" s="31"/>
      <c r="AE43" s="32"/>
      <c r="AF43" s="32"/>
    </row>
    <row r="44" spans="1:32" s="2" customFormat="1" ht="12" customHeight="1" x14ac:dyDescent="0.2">
      <c r="A44" s="3" t="s">
        <v>29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/>
      <c r="Z44" s="3"/>
      <c r="AA44" s="3"/>
      <c r="AB44" s="3"/>
      <c r="AC44" s="3"/>
      <c r="AD44" s="3"/>
      <c r="AE44" s="32"/>
      <c r="AF44" s="32"/>
    </row>
    <row r="45" spans="1:32" s="2" customFormat="1" ht="12" customHeight="1" x14ac:dyDescent="0.2">
      <c r="A45" s="3" t="s">
        <v>30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/>
      <c r="Z45" s="3"/>
      <c r="AA45" s="3"/>
      <c r="AB45" s="3"/>
      <c r="AC45" s="3"/>
      <c r="AD45" s="3"/>
      <c r="AE45" s="32"/>
      <c r="AF45" s="32"/>
    </row>
    <row r="46" spans="1:32" s="2" customFormat="1" ht="12" customHeight="1" x14ac:dyDescent="0.2">
      <c r="A46" s="3" t="s">
        <v>31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/>
      <c r="Z46" s="3"/>
      <c r="AA46" s="3"/>
      <c r="AB46" s="3"/>
      <c r="AC46" s="3"/>
      <c r="AD46" s="3"/>
      <c r="AE46" s="32"/>
      <c r="AF46" s="32"/>
    </row>
    <row r="47" spans="1:32" s="2" customFormat="1" ht="12" customHeight="1" x14ac:dyDescent="0.2">
      <c r="A47" s="3" t="s">
        <v>32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/>
      <c r="Z47" s="3"/>
      <c r="AA47" s="3"/>
      <c r="AB47" s="3"/>
      <c r="AC47" s="3"/>
      <c r="AD47" s="3"/>
      <c r="AE47" s="32"/>
      <c r="AF47" s="32"/>
    </row>
    <row r="48" spans="1:32" s="2" customFormat="1" ht="12.75" customHeight="1" x14ac:dyDescent="0.2">
      <c r="A48" s="3" t="s">
        <v>33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3"/>
      <c r="Z48" s="3"/>
      <c r="AA48" s="3"/>
      <c r="AB48" s="3"/>
      <c r="AC48" s="3"/>
      <c r="AD48" s="33"/>
      <c r="AE48" s="32"/>
      <c r="AF48" s="32"/>
    </row>
    <row r="49" spans="1:32" s="2" customFormat="1" ht="12.75" customHeight="1" x14ac:dyDescent="0.2">
      <c r="A49" s="6" t="s">
        <v>34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"/>
      <c r="V49" s="5"/>
      <c r="W49" s="5"/>
      <c r="X49" s="5"/>
      <c r="Y49" s="3"/>
      <c r="Z49" s="3"/>
      <c r="AA49" s="3"/>
      <c r="AB49" s="3"/>
      <c r="AC49" s="3"/>
      <c r="AD49" s="33"/>
      <c r="AE49" s="32"/>
      <c r="AF49" s="32"/>
    </row>
    <row r="50" spans="1:32" s="2" customFormat="1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3"/>
      <c r="Z50" s="3"/>
      <c r="AA50" s="3"/>
      <c r="AB50" s="3"/>
      <c r="AC50" s="3"/>
      <c r="AD50" s="33"/>
      <c r="AE50" s="32"/>
      <c r="AF50" s="32"/>
    </row>
    <row r="51" spans="1:32" s="34" customFormat="1" ht="21" customHeight="1" x14ac:dyDescent="0.25">
      <c r="A51" s="175" t="s">
        <v>35</v>
      </c>
      <c r="B51" s="175"/>
      <c r="C51" s="7"/>
      <c r="D51" s="8" t="s">
        <v>36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5"/>
      <c r="V51" s="5"/>
      <c r="W51" s="5"/>
      <c r="X51" s="5"/>
      <c r="Y51" s="3"/>
      <c r="Z51" s="3"/>
      <c r="AA51" s="3"/>
      <c r="AB51" s="3"/>
      <c r="AC51" s="3"/>
      <c r="AD51" s="33"/>
    </row>
    <row r="52" spans="1:32" s="2" customFormat="1" ht="21" customHeight="1" x14ac:dyDescent="0.2">
      <c r="A52" s="5"/>
      <c r="B52" s="5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5"/>
      <c r="V52" s="5"/>
      <c r="W52" s="5"/>
      <c r="X52" s="5"/>
      <c r="Y52" s="3"/>
      <c r="Z52" s="3"/>
      <c r="AA52" s="3"/>
      <c r="AB52" s="3"/>
      <c r="AC52" s="3"/>
      <c r="AD52" s="33"/>
      <c r="AE52" s="32"/>
      <c r="AF52" s="32"/>
    </row>
    <row r="53" spans="1:32" s="2" customFormat="1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3"/>
      <c r="Z53" s="3"/>
      <c r="AA53" s="3"/>
      <c r="AB53" s="3"/>
      <c r="AC53" s="3"/>
      <c r="AD53" s="33"/>
      <c r="AE53" s="32"/>
      <c r="AF53" s="32"/>
    </row>
    <row r="54" spans="1:32" s="2" customFormat="1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3"/>
      <c r="AA54" s="3"/>
      <c r="AB54" s="3"/>
      <c r="AC54" s="3"/>
      <c r="AD54" s="33"/>
      <c r="AE54" s="32"/>
      <c r="AF54" s="32"/>
    </row>
    <row r="55" spans="1:32" s="2" customFormat="1" ht="1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2" s="2" customFormat="1" ht="1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2" s="2" customFormat="1" ht="19.5" customHeight="1" x14ac:dyDescent="0.35">
      <c r="A57" s="168" t="s">
        <v>37</v>
      </c>
      <c r="B57" s="168"/>
      <c r="D57" s="10" t="s">
        <v>44</v>
      </c>
      <c r="U57" s="9"/>
      <c r="V57" s="168" t="s">
        <v>38</v>
      </c>
      <c r="W57" s="168"/>
      <c r="X57" s="168"/>
      <c r="Y57" s="3"/>
      <c r="Z57" s="3"/>
      <c r="AB57" s="35"/>
      <c r="AC57" s="36"/>
    </row>
    <row r="58" spans="1:32" s="2" customFormat="1" ht="16.5" customHeight="1" x14ac:dyDescent="0.2">
      <c r="A58" s="169" t="s">
        <v>39</v>
      </c>
      <c r="B58" s="169"/>
      <c r="D58" s="37" t="s">
        <v>40</v>
      </c>
      <c r="U58" s="14"/>
      <c r="V58" s="170" t="s">
        <v>41</v>
      </c>
      <c r="W58" s="170"/>
      <c r="X58" s="170"/>
      <c r="Y58" s="38"/>
      <c r="Z58" s="38"/>
      <c r="AB58" s="39" t="s">
        <v>42</v>
      </c>
      <c r="AC58" s="39"/>
    </row>
  </sheetData>
  <mergeCells count="25">
    <mergeCell ref="A10:B10"/>
    <mergeCell ref="A57:B57"/>
    <mergeCell ref="V57:X57"/>
    <mergeCell ref="A58:B58"/>
    <mergeCell ref="V58:X58"/>
    <mergeCell ref="A42:X42"/>
    <mergeCell ref="A43:Y43"/>
    <mergeCell ref="A51:B51"/>
    <mergeCell ref="A1:AC1"/>
    <mergeCell ref="B3:C3"/>
    <mergeCell ref="D3:Y6"/>
    <mergeCell ref="Z3:AC3"/>
    <mergeCell ref="A4:A5"/>
    <mergeCell ref="B4:C5"/>
    <mergeCell ref="Z4:AC4"/>
    <mergeCell ref="Z5:AC5"/>
    <mergeCell ref="A6:C6"/>
    <mergeCell ref="Z6:AC6"/>
    <mergeCell ref="A7:C7"/>
    <mergeCell ref="D7:Y9"/>
    <mergeCell ref="Z7:AC7"/>
    <mergeCell ref="A8:B8"/>
    <mergeCell ref="Z8:AC8"/>
    <mergeCell ref="A9:B9"/>
    <mergeCell ref="Z9:AC9"/>
  </mergeCells>
  <printOptions horizontalCentered="1"/>
  <pageMargins left="0.95" right="0.2" top="0.5" bottom="0.25" header="0" footer="0"/>
  <pageSetup paperSize="9" scale="41" fitToHeight="0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"/>
  <sheetViews>
    <sheetView tabSelected="1" zoomScale="66" zoomScaleNormal="66" zoomScaleSheetLayoutView="66" workbookViewId="0">
      <selection activeCell="C7" sqref="C7"/>
    </sheetView>
  </sheetViews>
  <sheetFormatPr defaultRowHeight="15" x14ac:dyDescent="0.25"/>
  <cols>
    <col min="1" max="1" width="15.7109375" customWidth="1"/>
    <col min="2" max="2" width="16.140625" customWidth="1"/>
    <col min="3" max="3" width="39.85546875" customWidth="1"/>
    <col min="4" max="4" width="17.7109375" customWidth="1"/>
    <col min="5" max="5" width="23" customWidth="1"/>
    <col min="6" max="6" width="23.7109375" customWidth="1"/>
    <col min="7" max="7" width="11.140625" bestFit="1" customWidth="1"/>
    <col min="8" max="8" width="9.85546875" bestFit="1" customWidth="1"/>
    <col min="9" max="10" width="11.28515625" customWidth="1"/>
    <col min="11" max="11" width="11.28515625" hidden="1" customWidth="1"/>
    <col min="12" max="12" width="12" bestFit="1" customWidth="1"/>
    <col min="16" max="16" width="29.85546875" customWidth="1"/>
  </cols>
  <sheetData>
    <row r="1" spans="1:28" s="2" customFormat="1" ht="57" customHeight="1" x14ac:dyDescent="0.2">
      <c r="A1" s="145" t="s">
        <v>95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7"/>
    </row>
    <row r="2" spans="1:28" s="86" customFormat="1" ht="28.5" customHeight="1" x14ac:dyDescent="0.25">
      <c r="A2" s="79" t="s">
        <v>0</v>
      </c>
      <c r="B2" s="178" t="s">
        <v>103</v>
      </c>
      <c r="C2" s="179"/>
      <c r="D2" s="149" t="s">
        <v>113</v>
      </c>
      <c r="E2" s="150"/>
      <c r="F2" s="150"/>
      <c r="G2" s="150"/>
      <c r="H2" s="150"/>
      <c r="I2" s="150"/>
      <c r="J2" s="150"/>
      <c r="K2" s="150"/>
      <c r="L2" s="151"/>
      <c r="M2" s="95" t="s">
        <v>2</v>
      </c>
      <c r="N2" s="96"/>
      <c r="O2" s="96"/>
      <c r="P2" s="97"/>
    </row>
    <row r="3" spans="1:28" s="86" customFormat="1" ht="28.5" customHeight="1" x14ac:dyDescent="0.25">
      <c r="A3" s="80" t="s">
        <v>3</v>
      </c>
      <c r="B3" s="178" t="s">
        <v>47</v>
      </c>
      <c r="C3" s="179"/>
      <c r="D3" s="152"/>
      <c r="E3" s="153"/>
      <c r="F3" s="153"/>
      <c r="G3" s="153"/>
      <c r="H3" s="153"/>
      <c r="I3" s="153"/>
      <c r="J3" s="153"/>
      <c r="K3" s="153"/>
      <c r="L3" s="154"/>
      <c r="M3" s="98" t="s">
        <v>4</v>
      </c>
      <c r="N3" s="99"/>
      <c r="O3" s="99"/>
      <c r="P3" s="100"/>
    </row>
    <row r="4" spans="1:28" s="86" customFormat="1" ht="28.5" customHeight="1" x14ac:dyDescent="0.25">
      <c r="A4" s="87" t="s">
        <v>93</v>
      </c>
      <c r="B4" s="187" t="s">
        <v>104</v>
      </c>
      <c r="C4" s="188"/>
      <c r="D4" s="152"/>
      <c r="E4" s="153"/>
      <c r="F4" s="153"/>
      <c r="G4" s="153"/>
      <c r="H4" s="153"/>
      <c r="I4" s="153"/>
      <c r="J4" s="153"/>
      <c r="K4" s="153"/>
      <c r="L4" s="154"/>
      <c r="M4" s="89" t="s">
        <v>5</v>
      </c>
      <c r="N4" s="90"/>
      <c r="O4" s="90"/>
      <c r="P4" s="91"/>
    </row>
    <row r="5" spans="1:28" s="86" customFormat="1" ht="28.5" customHeight="1" x14ac:dyDescent="0.25">
      <c r="A5" s="81" t="s">
        <v>110</v>
      </c>
      <c r="B5" s="82"/>
      <c r="C5" s="83"/>
      <c r="D5" s="152"/>
      <c r="E5" s="153"/>
      <c r="F5" s="153"/>
      <c r="G5" s="153"/>
      <c r="H5" s="153"/>
      <c r="I5" s="153"/>
      <c r="J5" s="153"/>
      <c r="K5" s="153"/>
      <c r="L5" s="154"/>
      <c r="M5" s="89" t="s">
        <v>6</v>
      </c>
      <c r="N5" s="90"/>
      <c r="O5" s="90"/>
      <c r="P5" s="91"/>
    </row>
    <row r="6" spans="1:28" s="86" customFormat="1" ht="28.5" customHeight="1" x14ac:dyDescent="0.25">
      <c r="A6" s="82" t="s">
        <v>111</v>
      </c>
      <c r="B6" s="83"/>
      <c r="C6" s="88"/>
      <c r="D6" s="152"/>
      <c r="E6" s="153"/>
      <c r="F6" s="153"/>
      <c r="G6" s="153"/>
      <c r="H6" s="153"/>
      <c r="I6" s="153"/>
      <c r="J6" s="153"/>
      <c r="K6" s="153"/>
      <c r="L6" s="154"/>
      <c r="M6" s="89" t="s">
        <v>7</v>
      </c>
      <c r="N6" s="90"/>
      <c r="O6" s="90"/>
      <c r="P6" s="91"/>
    </row>
    <row r="7" spans="1:28" s="86" customFormat="1" ht="28.5" customHeight="1" x14ac:dyDescent="0.25">
      <c r="A7" s="84" t="s">
        <v>112</v>
      </c>
      <c r="B7" s="85"/>
      <c r="C7" s="88"/>
      <c r="D7" s="155"/>
      <c r="E7" s="156"/>
      <c r="F7" s="156"/>
      <c r="G7" s="156"/>
      <c r="H7" s="156"/>
      <c r="I7" s="156"/>
      <c r="J7" s="156"/>
      <c r="K7" s="156"/>
      <c r="L7" s="157"/>
      <c r="M7" s="92" t="s">
        <v>94</v>
      </c>
      <c r="N7" s="93"/>
      <c r="O7" s="93"/>
      <c r="P7" s="94"/>
    </row>
    <row r="8" spans="1:28" s="15" customFormat="1" ht="31.5" customHeight="1" x14ac:dyDescent="0.25">
      <c r="A8" s="180" t="s">
        <v>12</v>
      </c>
      <c r="B8" s="180" t="s">
        <v>13</v>
      </c>
      <c r="C8" s="180" t="s">
        <v>14</v>
      </c>
      <c r="D8" s="180" t="s">
        <v>15</v>
      </c>
      <c r="E8" s="189" t="s">
        <v>85</v>
      </c>
      <c r="F8" s="182" t="s">
        <v>83</v>
      </c>
      <c r="G8" s="184" t="s">
        <v>98</v>
      </c>
      <c r="H8" s="185"/>
      <c r="I8" s="186"/>
      <c r="J8" s="180" t="s">
        <v>16</v>
      </c>
      <c r="K8" s="110"/>
      <c r="L8" s="182" t="s">
        <v>89</v>
      </c>
      <c r="M8" s="180" t="s">
        <v>18</v>
      </c>
      <c r="N8" s="180" t="s">
        <v>19</v>
      </c>
      <c r="O8" s="180" t="s">
        <v>20</v>
      </c>
      <c r="P8" s="180" t="s">
        <v>21</v>
      </c>
    </row>
    <row r="9" spans="1:28" ht="36.75" customHeight="1" x14ac:dyDescent="0.25">
      <c r="A9" s="181"/>
      <c r="B9" s="181"/>
      <c r="C9" s="181"/>
      <c r="D9" s="181"/>
      <c r="E9" s="190"/>
      <c r="F9" s="183"/>
      <c r="G9" s="73" t="s">
        <v>22</v>
      </c>
      <c r="H9" s="73" t="s">
        <v>23</v>
      </c>
      <c r="I9" s="73" t="s">
        <v>24</v>
      </c>
      <c r="J9" s="181"/>
      <c r="K9" s="111" t="s">
        <v>97</v>
      </c>
      <c r="L9" s="183"/>
      <c r="M9" s="181"/>
      <c r="N9" s="181"/>
      <c r="O9" s="181"/>
      <c r="P9" s="181"/>
    </row>
    <row r="10" spans="1:28" s="15" customFormat="1" ht="36.75" customHeight="1" x14ac:dyDescent="0.25">
      <c r="A10" s="78">
        <v>1</v>
      </c>
      <c r="B10" s="191" t="s">
        <v>91</v>
      </c>
      <c r="C10" s="193" t="s">
        <v>102</v>
      </c>
      <c r="D10" s="117" t="s">
        <v>100</v>
      </c>
      <c r="E10" s="113" t="s">
        <v>96</v>
      </c>
      <c r="F10" s="114" t="s">
        <v>101</v>
      </c>
      <c r="G10" s="115">
        <v>56</v>
      </c>
      <c r="H10" s="115">
        <v>30</v>
      </c>
      <c r="I10" s="115">
        <v>20</v>
      </c>
      <c r="J10" s="118">
        <v>5</v>
      </c>
      <c r="K10" s="113">
        <v>14</v>
      </c>
      <c r="L10" s="114">
        <v>7</v>
      </c>
      <c r="M10" s="116" t="s">
        <v>87</v>
      </c>
      <c r="N10" s="78"/>
      <c r="O10" s="78"/>
      <c r="P10" s="193" t="s">
        <v>92</v>
      </c>
    </row>
    <row r="11" spans="1:28" s="15" customFormat="1" ht="36.75" customHeight="1" x14ac:dyDescent="0.25">
      <c r="A11" s="112">
        <v>2</v>
      </c>
      <c r="B11" s="192"/>
      <c r="C11" s="194"/>
      <c r="D11" s="117" t="s">
        <v>100</v>
      </c>
      <c r="E11" s="114" t="s">
        <v>99</v>
      </c>
      <c r="F11" s="114" t="s">
        <v>101</v>
      </c>
      <c r="G11" s="115">
        <v>56</v>
      </c>
      <c r="H11" s="115">
        <v>30</v>
      </c>
      <c r="I11" s="115">
        <v>20</v>
      </c>
      <c r="J11" s="118">
        <v>5</v>
      </c>
      <c r="K11" s="113">
        <v>14</v>
      </c>
      <c r="L11" s="114">
        <v>7</v>
      </c>
      <c r="M11" s="116" t="s">
        <v>87</v>
      </c>
      <c r="N11" s="112"/>
      <c r="O11" s="112"/>
      <c r="P11" s="194"/>
    </row>
    <row r="12" spans="1:28" ht="42" customHeight="1" x14ac:dyDescent="0.25">
      <c r="A12" s="74"/>
      <c r="B12" s="75" t="s">
        <v>88</v>
      </c>
      <c r="C12" s="74"/>
      <c r="D12" s="76"/>
      <c r="E12" s="76"/>
      <c r="F12" s="76"/>
      <c r="G12" s="76"/>
      <c r="H12" s="76"/>
      <c r="I12" s="76"/>
      <c r="J12" s="76"/>
      <c r="K12" s="77">
        <f>SUM(K10:K11)</f>
        <v>28</v>
      </c>
      <c r="L12" s="77">
        <f>SUM(L10:L11)</f>
        <v>14</v>
      </c>
      <c r="M12" s="74"/>
      <c r="N12" s="74"/>
      <c r="O12" s="74"/>
      <c r="P12" s="74"/>
    </row>
    <row r="13" spans="1:28" s="2" customFormat="1" ht="13.5" customHeight="1" x14ac:dyDescent="0.2">
      <c r="A13" s="174" t="s">
        <v>28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3"/>
      <c r="W13" s="3"/>
      <c r="X13" s="3"/>
      <c r="Y13" s="3"/>
      <c r="Z13" s="31"/>
      <c r="AA13" s="32"/>
      <c r="AB13" s="32"/>
    </row>
    <row r="14" spans="1:28" s="2" customFormat="1" ht="12" customHeight="1" x14ac:dyDescent="0.2">
      <c r="A14" s="3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2"/>
      <c r="AB14" s="32"/>
    </row>
    <row r="15" spans="1:28" s="2" customFormat="1" ht="12" customHeight="1" x14ac:dyDescent="0.2">
      <c r="A15" s="3" t="s">
        <v>30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2"/>
      <c r="AB15" s="32"/>
    </row>
    <row r="16" spans="1:28" s="2" customFormat="1" ht="12" customHeight="1" x14ac:dyDescent="0.2">
      <c r="A16" s="3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2"/>
      <c r="AB16" s="32"/>
    </row>
    <row r="17" spans="1:28" s="2" customFormat="1" ht="12" customHeight="1" x14ac:dyDescent="0.2">
      <c r="A17" s="3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2"/>
      <c r="AB17" s="32"/>
    </row>
    <row r="18" spans="1:28" s="2" customFormat="1" ht="12.75" customHeight="1" x14ac:dyDescent="0.2">
      <c r="A18" s="3" t="s">
        <v>33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3"/>
      <c r="V18" s="3"/>
      <c r="W18" s="3"/>
      <c r="X18" s="3"/>
      <c r="Y18" s="3"/>
      <c r="Z18" s="33"/>
      <c r="AA18" s="32"/>
      <c r="AB18" s="32"/>
    </row>
    <row r="19" spans="1:28" s="2" customFormat="1" ht="12.75" customHeight="1" x14ac:dyDescent="0.2">
      <c r="A19" s="6" t="s">
        <v>34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5"/>
      <c r="R19" s="5"/>
      <c r="S19" s="5"/>
      <c r="T19" s="5"/>
      <c r="U19" s="3"/>
      <c r="V19" s="3"/>
      <c r="W19" s="3"/>
      <c r="X19" s="3"/>
      <c r="Y19" s="3"/>
      <c r="Z19" s="33"/>
      <c r="AA19" s="32"/>
      <c r="AB19" s="32"/>
    </row>
    <row r="20" spans="1:28" s="2" customFormat="1" ht="12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"/>
      <c r="V20" s="3"/>
      <c r="W20" s="3"/>
      <c r="X20" s="3"/>
      <c r="Y20" s="3"/>
      <c r="Z20" s="33"/>
      <c r="AA20" s="32"/>
      <c r="AB20" s="32"/>
    </row>
    <row r="21" spans="1:28" s="34" customFormat="1" ht="21" customHeight="1" x14ac:dyDescent="0.25">
      <c r="A21" s="175" t="s">
        <v>35</v>
      </c>
      <c r="B21" s="175"/>
      <c r="C21" s="7"/>
      <c r="D21" s="8" t="s">
        <v>36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5"/>
      <c r="U21" s="3"/>
      <c r="V21" s="3"/>
      <c r="W21" s="3"/>
      <c r="X21" s="3"/>
      <c r="Y21" s="3"/>
      <c r="Z21" s="33"/>
    </row>
    <row r="22" spans="1:28" s="2" customFormat="1" ht="21" customHeight="1" x14ac:dyDescent="0.2">
      <c r="A22" s="5"/>
      <c r="B22" s="5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5"/>
      <c r="U22" s="3"/>
      <c r="V22" s="3"/>
      <c r="W22" s="3"/>
      <c r="X22" s="3"/>
      <c r="Y22" s="3"/>
      <c r="Z22" s="33"/>
      <c r="AA22" s="32"/>
      <c r="AB22" s="32"/>
    </row>
    <row r="23" spans="1:28" s="2" customFormat="1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3"/>
      <c r="V23" s="3"/>
      <c r="W23" s="3"/>
      <c r="X23" s="3"/>
      <c r="Y23" s="3"/>
      <c r="Z23" s="33"/>
      <c r="AA23" s="32"/>
      <c r="AB23" s="32"/>
    </row>
    <row r="24" spans="1:28" s="2" customFormat="1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3"/>
      <c r="V24" s="3"/>
      <c r="W24" s="3"/>
      <c r="X24" s="3"/>
      <c r="Y24" s="3"/>
      <c r="Z24" s="33"/>
      <c r="AA24" s="32"/>
      <c r="AB24" s="32"/>
    </row>
    <row r="25" spans="1:28" s="2" customForma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8" s="2" customForma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8" s="105" customFormat="1" ht="19.5" customHeight="1" x14ac:dyDescent="0.25">
      <c r="B27" s="121" t="s">
        <v>105</v>
      </c>
      <c r="C27" s="14"/>
      <c r="E27" s="121" t="s">
        <v>106</v>
      </c>
      <c r="F27" s="14"/>
      <c r="H27" s="177" t="s">
        <v>107</v>
      </c>
      <c r="I27" s="177"/>
      <c r="J27" s="14"/>
      <c r="K27" s="14"/>
      <c r="L27" s="106"/>
      <c r="M27" s="107"/>
      <c r="N27" s="107"/>
      <c r="P27" s="108" t="s">
        <v>4</v>
      </c>
      <c r="Q27" s="109"/>
    </row>
    <row r="28" spans="1:28" s="101" customFormat="1" ht="16.5" customHeight="1" x14ac:dyDescent="0.25">
      <c r="B28" s="119" t="s">
        <v>39</v>
      </c>
      <c r="C28" s="14"/>
      <c r="E28" s="120" t="s">
        <v>108</v>
      </c>
      <c r="F28" s="14"/>
      <c r="H28" s="176" t="s">
        <v>109</v>
      </c>
      <c r="I28" s="176"/>
      <c r="J28" s="14"/>
      <c r="K28" s="14"/>
      <c r="L28" s="119"/>
      <c r="M28" s="102"/>
      <c r="N28" s="102"/>
      <c r="P28" s="103" t="s">
        <v>42</v>
      </c>
      <c r="Q28" s="104"/>
    </row>
    <row r="29" spans="1:28" x14ac:dyDescent="0.25">
      <c r="I29" s="14"/>
      <c r="J29" s="14"/>
      <c r="K29" s="14"/>
    </row>
  </sheetData>
  <mergeCells count="25">
    <mergeCell ref="A21:B21"/>
    <mergeCell ref="B10:B11"/>
    <mergeCell ref="P10:P11"/>
    <mergeCell ref="C10:C11"/>
    <mergeCell ref="B8:B9"/>
    <mergeCell ref="A8:A9"/>
    <mergeCell ref="D8:D9"/>
    <mergeCell ref="E8:E9"/>
    <mergeCell ref="A13:U13"/>
    <mergeCell ref="H28:I28"/>
    <mergeCell ref="H27:I27"/>
    <mergeCell ref="A1:P1"/>
    <mergeCell ref="B2:C2"/>
    <mergeCell ref="M8:M9"/>
    <mergeCell ref="N8:N9"/>
    <mergeCell ref="F8:F9"/>
    <mergeCell ref="P8:P9"/>
    <mergeCell ref="O8:O9"/>
    <mergeCell ref="L8:L9"/>
    <mergeCell ref="J8:J9"/>
    <mergeCell ref="G8:I8"/>
    <mergeCell ref="B4:C4"/>
    <mergeCell ref="D2:L7"/>
    <mergeCell ref="B3:C3"/>
    <mergeCell ref="C8:C9"/>
  </mergeCells>
  <pageMargins left="0.7" right="0.7" top="0.75" bottom="0.75" header="0.3" footer="0.3"/>
  <pageSetup paperSize="9" scale="5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3"/>
  <sheetViews>
    <sheetView topLeftCell="A88" workbookViewId="0">
      <selection activeCell="G13" sqref="G13:H106"/>
    </sheetView>
  </sheetViews>
  <sheetFormatPr defaultRowHeight="15" x14ac:dyDescent="0.25"/>
  <cols>
    <col min="2" max="2" width="13.140625" customWidth="1"/>
    <col min="7" max="7" width="9.140625" customWidth="1"/>
    <col min="8" max="8" width="9.5703125" bestFit="1" customWidth="1"/>
  </cols>
  <sheetData>
    <row r="2" spans="2:8" x14ac:dyDescent="0.25">
      <c r="B2" s="11"/>
      <c r="C2" s="11"/>
      <c r="D2" s="11"/>
      <c r="E2" s="11"/>
      <c r="F2" s="11"/>
      <c r="G2" s="11"/>
      <c r="H2" s="11"/>
    </row>
    <row r="10" spans="2:8" x14ac:dyDescent="0.25">
      <c r="B10" s="12"/>
      <c r="C10" s="12"/>
      <c r="D10" s="12"/>
      <c r="E10" s="12"/>
      <c r="F10" s="12"/>
      <c r="G10" s="12"/>
      <c r="H10" s="12"/>
    </row>
    <row r="11" spans="2:8" ht="16.5" thickBot="1" x14ac:dyDescent="0.3">
      <c r="B11" s="43"/>
      <c r="C11" s="66" t="s">
        <v>43</v>
      </c>
      <c r="D11" s="66"/>
      <c r="E11" s="66"/>
      <c r="F11" s="62"/>
      <c r="G11" s="43"/>
      <c r="H11" s="43"/>
    </row>
    <row r="12" spans="2:8" ht="30.75" x14ac:dyDescent="0.25">
      <c r="B12" s="72" t="s">
        <v>83</v>
      </c>
      <c r="C12" s="70" t="s">
        <v>22</v>
      </c>
      <c r="D12" s="70" t="s">
        <v>23</v>
      </c>
      <c r="E12" s="70" t="s">
        <v>24</v>
      </c>
      <c r="F12" s="71" t="s">
        <v>16</v>
      </c>
      <c r="G12" s="64" t="s">
        <v>86</v>
      </c>
      <c r="H12" s="65" t="s">
        <v>89</v>
      </c>
    </row>
    <row r="13" spans="2:8" ht="15.75" x14ac:dyDescent="0.25">
      <c r="B13" s="69" t="s">
        <v>90</v>
      </c>
      <c r="C13" s="23">
        <v>17.5</v>
      </c>
      <c r="D13" s="23">
        <v>15</v>
      </c>
      <c r="E13" s="23">
        <v>3</v>
      </c>
      <c r="F13" s="23">
        <v>3</v>
      </c>
      <c r="G13" s="69">
        <v>108</v>
      </c>
      <c r="H13" s="68">
        <f t="shared" ref="H13:H44" si="0">G13*2/100+G13</f>
        <v>110.16</v>
      </c>
    </row>
    <row r="14" spans="2:8" ht="15.75" x14ac:dyDescent="0.25">
      <c r="B14" s="69" t="s">
        <v>90</v>
      </c>
      <c r="C14" s="23">
        <v>17.5</v>
      </c>
      <c r="D14" s="23">
        <v>15</v>
      </c>
      <c r="E14" s="23">
        <v>3</v>
      </c>
      <c r="F14" s="23">
        <v>3</v>
      </c>
      <c r="G14" s="69">
        <v>800</v>
      </c>
      <c r="H14" s="68">
        <f t="shared" si="0"/>
        <v>816</v>
      </c>
    </row>
    <row r="15" spans="2:8" ht="15.75" x14ac:dyDescent="0.25">
      <c r="B15" s="69" t="s">
        <v>90</v>
      </c>
      <c r="C15" s="23">
        <v>17.5</v>
      </c>
      <c r="D15" s="23">
        <v>15</v>
      </c>
      <c r="E15" s="23">
        <v>3</v>
      </c>
      <c r="F15" s="23">
        <v>3</v>
      </c>
      <c r="G15" s="69">
        <v>400</v>
      </c>
      <c r="H15" s="68">
        <f t="shared" si="0"/>
        <v>408</v>
      </c>
    </row>
    <row r="16" spans="2:8" ht="15.75" x14ac:dyDescent="0.25">
      <c r="B16" s="69" t="s">
        <v>90</v>
      </c>
      <c r="C16" s="23">
        <v>17.5</v>
      </c>
      <c r="D16" s="23">
        <v>15</v>
      </c>
      <c r="E16" s="23">
        <v>3</v>
      </c>
      <c r="F16" s="23">
        <v>3</v>
      </c>
      <c r="G16" s="69">
        <v>400</v>
      </c>
      <c r="H16" s="68">
        <f t="shared" si="0"/>
        <v>408</v>
      </c>
    </row>
    <row r="17" spans="2:8" ht="15.75" x14ac:dyDescent="0.25">
      <c r="B17" s="69" t="s">
        <v>90</v>
      </c>
      <c r="C17" s="23">
        <v>17.5</v>
      </c>
      <c r="D17" s="23">
        <v>15</v>
      </c>
      <c r="E17" s="23">
        <v>3</v>
      </c>
      <c r="F17" s="23">
        <v>3</v>
      </c>
      <c r="G17" s="69">
        <v>200</v>
      </c>
      <c r="H17" s="68">
        <f t="shared" si="0"/>
        <v>204</v>
      </c>
    </row>
    <row r="18" spans="2:8" ht="15.75" x14ac:dyDescent="0.25">
      <c r="B18" s="69" t="s">
        <v>90</v>
      </c>
      <c r="C18" s="23">
        <v>17.5</v>
      </c>
      <c r="D18" s="23">
        <v>15</v>
      </c>
      <c r="E18" s="23">
        <v>3</v>
      </c>
      <c r="F18" s="23">
        <v>3</v>
      </c>
      <c r="G18" s="69">
        <v>600</v>
      </c>
      <c r="H18" s="68">
        <f t="shared" si="0"/>
        <v>612</v>
      </c>
    </row>
    <row r="19" spans="2:8" ht="15.75" x14ac:dyDescent="0.25">
      <c r="B19" s="69" t="s">
        <v>90</v>
      </c>
      <c r="C19" s="23">
        <v>17.5</v>
      </c>
      <c r="D19" s="23">
        <v>15</v>
      </c>
      <c r="E19" s="23">
        <v>3</v>
      </c>
      <c r="F19" s="23">
        <v>3</v>
      </c>
      <c r="G19" s="69">
        <v>200</v>
      </c>
      <c r="H19" s="68">
        <f t="shared" si="0"/>
        <v>204</v>
      </c>
    </row>
    <row r="20" spans="2:8" ht="15.75" x14ac:dyDescent="0.25">
      <c r="B20" s="69" t="s">
        <v>90</v>
      </c>
      <c r="C20" s="23">
        <v>17.5</v>
      </c>
      <c r="D20" s="23">
        <v>15</v>
      </c>
      <c r="E20" s="23">
        <v>3</v>
      </c>
      <c r="F20" s="23">
        <v>3</v>
      </c>
      <c r="G20" s="69">
        <v>100</v>
      </c>
      <c r="H20" s="68">
        <f t="shared" si="0"/>
        <v>102</v>
      </c>
    </row>
    <row r="21" spans="2:8" ht="15.75" x14ac:dyDescent="0.25">
      <c r="B21" s="69" t="s">
        <v>90</v>
      </c>
      <c r="C21" s="23">
        <v>17.5</v>
      </c>
      <c r="D21" s="23">
        <v>15</v>
      </c>
      <c r="E21" s="23">
        <v>3</v>
      </c>
      <c r="F21" s="23">
        <v>3</v>
      </c>
      <c r="G21" s="69">
        <v>100</v>
      </c>
      <c r="H21" s="68">
        <f t="shared" si="0"/>
        <v>102</v>
      </c>
    </row>
    <row r="22" spans="2:8" ht="15.75" x14ac:dyDescent="0.25">
      <c r="B22" s="69" t="s">
        <v>90</v>
      </c>
      <c r="C22" s="23">
        <v>17.5</v>
      </c>
      <c r="D22" s="23">
        <v>15</v>
      </c>
      <c r="E22" s="23">
        <v>3</v>
      </c>
      <c r="F22" s="23">
        <v>3</v>
      </c>
      <c r="G22" s="69">
        <v>100</v>
      </c>
      <c r="H22" s="68">
        <f t="shared" si="0"/>
        <v>102</v>
      </c>
    </row>
    <row r="23" spans="2:8" ht="15.75" x14ac:dyDescent="0.25">
      <c r="B23" s="69" t="s">
        <v>90</v>
      </c>
      <c r="C23" s="23">
        <v>17.5</v>
      </c>
      <c r="D23" s="23">
        <v>15</v>
      </c>
      <c r="E23" s="23">
        <v>3</v>
      </c>
      <c r="F23" s="23">
        <v>3</v>
      </c>
      <c r="G23" s="69">
        <v>100</v>
      </c>
      <c r="H23" s="68">
        <f t="shared" si="0"/>
        <v>102</v>
      </c>
    </row>
    <row r="24" spans="2:8" ht="15.75" x14ac:dyDescent="0.25">
      <c r="B24" s="69" t="s">
        <v>90</v>
      </c>
      <c r="C24" s="23">
        <v>17.5</v>
      </c>
      <c r="D24" s="23">
        <v>15</v>
      </c>
      <c r="E24" s="23">
        <v>3</v>
      </c>
      <c r="F24" s="23">
        <v>3</v>
      </c>
      <c r="G24" s="69">
        <v>100</v>
      </c>
      <c r="H24" s="68">
        <f t="shared" si="0"/>
        <v>102</v>
      </c>
    </row>
    <row r="25" spans="2:8" ht="15.75" x14ac:dyDescent="0.25">
      <c r="B25" s="69" t="s">
        <v>90</v>
      </c>
      <c r="C25" s="23">
        <v>17.5</v>
      </c>
      <c r="D25" s="23">
        <v>15</v>
      </c>
      <c r="E25" s="23">
        <v>3</v>
      </c>
      <c r="F25" s="23">
        <v>3</v>
      </c>
      <c r="G25" s="69">
        <v>200</v>
      </c>
      <c r="H25" s="68">
        <f t="shared" si="0"/>
        <v>204</v>
      </c>
    </row>
    <row r="26" spans="2:8" ht="15.75" x14ac:dyDescent="0.25">
      <c r="B26" s="69" t="s">
        <v>90</v>
      </c>
      <c r="C26" s="23">
        <v>17.5</v>
      </c>
      <c r="D26" s="23">
        <v>15</v>
      </c>
      <c r="E26" s="23">
        <v>3</v>
      </c>
      <c r="F26" s="23">
        <v>3</v>
      </c>
      <c r="G26" s="69">
        <v>200</v>
      </c>
      <c r="H26" s="68">
        <f t="shared" si="0"/>
        <v>204</v>
      </c>
    </row>
    <row r="27" spans="2:8" ht="15.75" x14ac:dyDescent="0.25">
      <c r="B27" s="69" t="s">
        <v>90</v>
      </c>
      <c r="C27" s="23">
        <v>17.5</v>
      </c>
      <c r="D27" s="23">
        <v>15</v>
      </c>
      <c r="E27" s="23">
        <v>3</v>
      </c>
      <c r="F27" s="23">
        <v>3</v>
      </c>
      <c r="G27" s="69">
        <v>200</v>
      </c>
      <c r="H27" s="68">
        <f t="shared" si="0"/>
        <v>204</v>
      </c>
    </row>
    <row r="28" spans="2:8" ht="15.75" x14ac:dyDescent="0.25">
      <c r="B28" s="69" t="s">
        <v>90</v>
      </c>
      <c r="C28" s="23">
        <v>17.5</v>
      </c>
      <c r="D28" s="23">
        <v>15</v>
      </c>
      <c r="E28" s="23">
        <v>3</v>
      </c>
      <c r="F28" s="23">
        <v>3</v>
      </c>
      <c r="G28" s="69">
        <v>200</v>
      </c>
      <c r="H28" s="68">
        <f t="shared" si="0"/>
        <v>204</v>
      </c>
    </row>
    <row r="29" spans="2:8" ht="15.75" x14ac:dyDescent="0.25">
      <c r="B29" s="69" t="s">
        <v>90</v>
      </c>
      <c r="C29" s="23">
        <v>17.5</v>
      </c>
      <c r="D29" s="23">
        <v>15</v>
      </c>
      <c r="E29" s="23">
        <v>3</v>
      </c>
      <c r="F29" s="23">
        <v>3</v>
      </c>
      <c r="G29" s="69">
        <v>200</v>
      </c>
      <c r="H29" s="68">
        <f t="shared" si="0"/>
        <v>204</v>
      </c>
    </row>
    <row r="30" spans="2:8" ht="15.75" x14ac:dyDescent="0.25">
      <c r="B30" s="69" t="s">
        <v>90</v>
      </c>
      <c r="C30" s="23">
        <v>17.5</v>
      </c>
      <c r="D30" s="23">
        <v>15</v>
      </c>
      <c r="E30" s="23">
        <v>3</v>
      </c>
      <c r="F30" s="23">
        <v>3</v>
      </c>
      <c r="G30" s="69">
        <v>200</v>
      </c>
      <c r="H30" s="68">
        <f t="shared" si="0"/>
        <v>204</v>
      </c>
    </row>
    <row r="31" spans="2:8" ht="15.75" x14ac:dyDescent="0.25">
      <c r="B31" s="69" t="s">
        <v>90</v>
      </c>
      <c r="C31" s="23">
        <v>17.5</v>
      </c>
      <c r="D31" s="23">
        <v>15</v>
      </c>
      <c r="E31" s="23">
        <v>3</v>
      </c>
      <c r="F31" s="23">
        <v>3</v>
      </c>
      <c r="G31" s="69">
        <v>200</v>
      </c>
      <c r="H31" s="68">
        <f t="shared" si="0"/>
        <v>204</v>
      </c>
    </row>
    <row r="32" spans="2:8" ht="15.75" x14ac:dyDescent="0.25">
      <c r="B32" s="69" t="s">
        <v>90</v>
      </c>
      <c r="C32" s="23">
        <v>17.5</v>
      </c>
      <c r="D32" s="23">
        <v>15</v>
      </c>
      <c r="E32" s="23">
        <v>3</v>
      </c>
      <c r="F32" s="23">
        <v>3</v>
      </c>
      <c r="G32" s="69">
        <v>200</v>
      </c>
      <c r="H32" s="68">
        <f t="shared" si="0"/>
        <v>204</v>
      </c>
    </row>
    <row r="33" spans="2:8" ht="15.75" x14ac:dyDescent="0.25">
      <c r="B33" s="69" t="s">
        <v>90</v>
      </c>
      <c r="C33" s="23">
        <v>17.5</v>
      </c>
      <c r="D33" s="23">
        <v>15</v>
      </c>
      <c r="E33" s="23">
        <v>3</v>
      </c>
      <c r="F33" s="23">
        <v>3</v>
      </c>
      <c r="G33" s="69">
        <v>200</v>
      </c>
      <c r="H33" s="68">
        <f t="shared" si="0"/>
        <v>204</v>
      </c>
    </row>
    <row r="34" spans="2:8" ht="15.75" x14ac:dyDescent="0.25">
      <c r="B34" s="69" t="s">
        <v>90</v>
      </c>
      <c r="C34" s="23">
        <v>17.5</v>
      </c>
      <c r="D34" s="23">
        <v>15</v>
      </c>
      <c r="E34" s="23">
        <v>3</v>
      </c>
      <c r="F34" s="23">
        <v>3</v>
      </c>
      <c r="G34" s="69">
        <v>200</v>
      </c>
      <c r="H34" s="68">
        <f t="shared" si="0"/>
        <v>204</v>
      </c>
    </row>
    <row r="35" spans="2:8" ht="15.75" x14ac:dyDescent="0.25">
      <c r="B35" s="69" t="s">
        <v>90</v>
      </c>
      <c r="C35" s="23">
        <v>17.5</v>
      </c>
      <c r="D35" s="23">
        <v>15</v>
      </c>
      <c r="E35" s="23">
        <v>3</v>
      </c>
      <c r="F35" s="23">
        <v>3</v>
      </c>
      <c r="G35" s="69">
        <v>200</v>
      </c>
      <c r="H35" s="68">
        <f t="shared" si="0"/>
        <v>204</v>
      </c>
    </row>
    <row r="36" spans="2:8" ht="15.75" x14ac:dyDescent="0.25">
      <c r="B36" s="69" t="s">
        <v>90</v>
      </c>
      <c r="C36" s="23">
        <v>17.5</v>
      </c>
      <c r="D36" s="23">
        <v>15</v>
      </c>
      <c r="E36" s="23">
        <v>3</v>
      </c>
      <c r="F36" s="23">
        <v>3</v>
      </c>
      <c r="G36" s="69">
        <v>200</v>
      </c>
      <c r="H36" s="68">
        <f t="shared" si="0"/>
        <v>204</v>
      </c>
    </row>
    <row r="37" spans="2:8" ht="15.75" x14ac:dyDescent="0.25">
      <c r="B37" s="69" t="s">
        <v>90</v>
      </c>
      <c r="C37" s="23">
        <v>17.5</v>
      </c>
      <c r="D37" s="23">
        <v>15</v>
      </c>
      <c r="E37" s="23">
        <v>3</v>
      </c>
      <c r="F37" s="23">
        <v>3</v>
      </c>
      <c r="G37" s="69">
        <v>200</v>
      </c>
      <c r="H37" s="68">
        <f t="shared" si="0"/>
        <v>204</v>
      </c>
    </row>
    <row r="38" spans="2:8" ht="15.75" x14ac:dyDescent="0.25">
      <c r="B38" s="69" t="s">
        <v>90</v>
      </c>
      <c r="C38" s="23">
        <v>17.5</v>
      </c>
      <c r="D38" s="23">
        <v>15</v>
      </c>
      <c r="E38" s="23">
        <v>3</v>
      </c>
      <c r="F38" s="23">
        <v>3</v>
      </c>
      <c r="G38" s="69">
        <v>400</v>
      </c>
      <c r="H38" s="68">
        <f t="shared" si="0"/>
        <v>408</v>
      </c>
    </row>
    <row r="39" spans="2:8" ht="15.75" x14ac:dyDescent="0.25">
      <c r="B39" s="69" t="s">
        <v>90</v>
      </c>
      <c r="C39" s="23">
        <v>17.5</v>
      </c>
      <c r="D39" s="23">
        <v>15</v>
      </c>
      <c r="E39" s="23">
        <v>3</v>
      </c>
      <c r="F39" s="23">
        <v>3</v>
      </c>
      <c r="G39" s="69">
        <v>200</v>
      </c>
      <c r="H39" s="68">
        <f t="shared" si="0"/>
        <v>204</v>
      </c>
    </row>
    <row r="40" spans="2:8" ht="15.75" x14ac:dyDescent="0.25">
      <c r="B40" s="69" t="s">
        <v>90</v>
      </c>
      <c r="C40" s="23">
        <v>17.5</v>
      </c>
      <c r="D40" s="23">
        <v>15</v>
      </c>
      <c r="E40" s="23">
        <v>3</v>
      </c>
      <c r="F40" s="23">
        <v>3</v>
      </c>
      <c r="G40" s="69">
        <v>200</v>
      </c>
      <c r="H40" s="68">
        <f t="shared" si="0"/>
        <v>204</v>
      </c>
    </row>
    <row r="41" spans="2:8" ht="15.75" x14ac:dyDescent="0.25">
      <c r="B41" s="69" t="s">
        <v>90</v>
      </c>
      <c r="C41" s="23">
        <v>17.5</v>
      </c>
      <c r="D41" s="23">
        <v>15</v>
      </c>
      <c r="E41" s="23">
        <v>3</v>
      </c>
      <c r="F41" s="23">
        <v>3</v>
      </c>
      <c r="G41" s="69">
        <v>400</v>
      </c>
      <c r="H41" s="68">
        <f t="shared" si="0"/>
        <v>408</v>
      </c>
    </row>
    <row r="42" spans="2:8" ht="15.75" x14ac:dyDescent="0.25">
      <c r="B42" s="69" t="s">
        <v>90</v>
      </c>
      <c r="C42" s="23">
        <v>17.5</v>
      </c>
      <c r="D42" s="23">
        <v>15</v>
      </c>
      <c r="E42" s="23">
        <v>3</v>
      </c>
      <c r="F42" s="23">
        <v>3</v>
      </c>
      <c r="G42" s="69">
        <v>400</v>
      </c>
      <c r="H42" s="68">
        <f t="shared" si="0"/>
        <v>408</v>
      </c>
    </row>
    <row r="43" spans="2:8" ht="15.75" x14ac:dyDescent="0.25">
      <c r="B43" s="69" t="s">
        <v>90</v>
      </c>
      <c r="C43" s="23">
        <v>17.5</v>
      </c>
      <c r="D43" s="23">
        <v>15</v>
      </c>
      <c r="E43" s="23">
        <v>3</v>
      </c>
      <c r="F43" s="23">
        <v>3</v>
      </c>
      <c r="G43" s="69">
        <v>500</v>
      </c>
      <c r="H43" s="68">
        <f t="shared" si="0"/>
        <v>510</v>
      </c>
    </row>
    <row r="44" spans="2:8" ht="15.75" x14ac:dyDescent="0.25">
      <c r="B44" s="69" t="s">
        <v>90</v>
      </c>
      <c r="C44" s="23">
        <v>17.5</v>
      </c>
      <c r="D44" s="23">
        <v>15</v>
      </c>
      <c r="E44" s="23">
        <v>3</v>
      </c>
      <c r="F44" s="23">
        <v>3</v>
      </c>
      <c r="G44" s="69">
        <v>100</v>
      </c>
      <c r="H44" s="68">
        <f t="shared" si="0"/>
        <v>102</v>
      </c>
    </row>
    <row r="45" spans="2:8" ht="15.75" x14ac:dyDescent="0.25">
      <c r="B45" s="69" t="s">
        <v>90</v>
      </c>
      <c r="C45" s="23">
        <v>17.5</v>
      </c>
      <c r="D45" s="23">
        <v>15</v>
      </c>
      <c r="E45" s="23">
        <v>3</v>
      </c>
      <c r="F45" s="23">
        <v>3</v>
      </c>
      <c r="G45" s="69">
        <v>100</v>
      </c>
      <c r="H45" s="68">
        <f t="shared" ref="H45:H76" si="1">G45*2/100+G45</f>
        <v>102</v>
      </c>
    </row>
    <row r="46" spans="2:8" ht="15.75" x14ac:dyDescent="0.25">
      <c r="B46" s="69" t="s">
        <v>90</v>
      </c>
      <c r="C46" s="23">
        <v>17.5</v>
      </c>
      <c r="D46" s="23">
        <v>15</v>
      </c>
      <c r="E46" s="23">
        <v>3</v>
      </c>
      <c r="F46" s="23">
        <v>3</v>
      </c>
      <c r="G46" s="69">
        <v>100</v>
      </c>
      <c r="H46" s="68">
        <f t="shared" si="1"/>
        <v>102</v>
      </c>
    </row>
    <row r="47" spans="2:8" ht="15.75" x14ac:dyDescent="0.25">
      <c r="B47" s="69" t="s">
        <v>90</v>
      </c>
      <c r="C47" s="23">
        <v>17.5</v>
      </c>
      <c r="D47" s="23">
        <v>15</v>
      </c>
      <c r="E47" s="23">
        <v>3</v>
      </c>
      <c r="F47" s="23">
        <v>3</v>
      </c>
      <c r="G47" s="69">
        <v>144</v>
      </c>
      <c r="H47" s="68">
        <f t="shared" si="1"/>
        <v>146.88</v>
      </c>
    </row>
    <row r="48" spans="2:8" ht="15.75" x14ac:dyDescent="0.25">
      <c r="B48" s="69" t="s">
        <v>90</v>
      </c>
      <c r="C48" s="23">
        <v>17.5</v>
      </c>
      <c r="D48" s="23">
        <v>15</v>
      </c>
      <c r="E48" s="23">
        <v>3</v>
      </c>
      <c r="F48" s="23">
        <v>3</v>
      </c>
      <c r="G48" s="69">
        <v>300</v>
      </c>
      <c r="H48" s="68">
        <f t="shared" si="1"/>
        <v>306</v>
      </c>
    </row>
    <row r="49" spans="2:8" ht="15.75" x14ac:dyDescent="0.25">
      <c r="B49" s="69" t="s">
        <v>90</v>
      </c>
      <c r="C49" s="23">
        <v>17.5</v>
      </c>
      <c r="D49" s="23">
        <v>15</v>
      </c>
      <c r="E49" s="23">
        <v>3</v>
      </c>
      <c r="F49" s="23">
        <v>3</v>
      </c>
      <c r="G49" s="69">
        <v>200</v>
      </c>
      <c r="H49" s="68">
        <f t="shared" si="1"/>
        <v>204</v>
      </c>
    </row>
    <row r="50" spans="2:8" ht="15.75" x14ac:dyDescent="0.25">
      <c r="B50" s="69" t="s">
        <v>90</v>
      </c>
      <c r="C50" s="23">
        <v>17.5</v>
      </c>
      <c r="D50" s="23">
        <v>15</v>
      </c>
      <c r="E50" s="23">
        <v>3</v>
      </c>
      <c r="F50" s="23">
        <v>3</v>
      </c>
      <c r="G50" s="69">
        <v>667</v>
      </c>
      <c r="H50" s="68">
        <f t="shared" si="1"/>
        <v>680.34</v>
      </c>
    </row>
    <row r="51" spans="2:8" ht="15.75" x14ac:dyDescent="0.25">
      <c r="B51" s="69" t="s">
        <v>90</v>
      </c>
      <c r="C51" s="23">
        <v>17.5</v>
      </c>
      <c r="D51" s="23">
        <v>15</v>
      </c>
      <c r="E51" s="23">
        <v>3</v>
      </c>
      <c r="F51" s="23">
        <v>3</v>
      </c>
      <c r="G51" s="69">
        <v>200</v>
      </c>
      <c r="H51" s="68">
        <f t="shared" si="1"/>
        <v>204</v>
      </c>
    </row>
    <row r="52" spans="2:8" ht="15.75" x14ac:dyDescent="0.25">
      <c r="B52" s="69" t="s">
        <v>90</v>
      </c>
      <c r="C52" s="23">
        <v>17.5</v>
      </c>
      <c r="D52" s="23">
        <v>15</v>
      </c>
      <c r="E52" s="23">
        <v>3</v>
      </c>
      <c r="F52" s="23">
        <v>3</v>
      </c>
      <c r="G52" s="69">
        <v>200</v>
      </c>
      <c r="H52" s="68">
        <f t="shared" si="1"/>
        <v>204</v>
      </c>
    </row>
    <row r="53" spans="2:8" ht="15.75" x14ac:dyDescent="0.25">
      <c r="B53" s="69" t="s">
        <v>90</v>
      </c>
      <c r="C53" s="23">
        <v>17.5</v>
      </c>
      <c r="D53" s="23">
        <v>15</v>
      </c>
      <c r="E53" s="23">
        <v>3</v>
      </c>
      <c r="F53" s="23">
        <v>3</v>
      </c>
      <c r="G53" s="69">
        <v>200</v>
      </c>
      <c r="H53" s="68">
        <f t="shared" si="1"/>
        <v>204</v>
      </c>
    </row>
    <row r="54" spans="2:8" ht="15.75" x14ac:dyDescent="0.25">
      <c r="B54" s="69" t="s">
        <v>90</v>
      </c>
      <c r="C54" s="23">
        <v>17.5</v>
      </c>
      <c r="D54" s="23">
        <v>15</v>
      </c>
      <c r="E54" s="23">
        <v>3</v>
      </c>
      <c r="F54" s="23">
        <v>3</v>
      </c>
      <c r="G54" s="69">
        <v>500</v>
      </c>
      <c r="H54" s="68">
        <f t="shared" si="1"/>
        <v>510</v>
      </c>
    </row>
    <row r="55" spans="2:8" ht="15.75" x14ac:dyDescent="0.25">
      <c r="B55" s="69" t="s">
        <v>90</v>
      </c>
      <c r="C55" s="23">
        <v>17.5</v>
      </c>
      <c r="D55" s="23">
        <v>15</v>
      </c>
      <c r="E55" s="23">
        <v>3</v>
      </c>
      <c r="F55" s="23">
        <v>3</v>
      </c>
      <c r="G55" s="69">
        <v>200</v>
      </c>
      <c r="H55" s="68">
        <f t="shared" si="1"/>
        <v>204</v>
      </c>
    </row>
    <row r="56" spans="2:8" ht="15.75" x14ac:dyDescent="0.25">
      <c r="B56" s="69" t="s">
        <v>90</v>
      </c>
      <c r="C56" s="23">
        <v>17.5</v>
      </c>
      <c r="D56" s="23">
        <v>15</v>
      </c>
      <c r="E56" s="23">
        <v>3</v>
      </c>
      <c r="F56" s="23">
        <v>3</v>
      </c>
      <c r="G56" s="69">
        <v>400</v>
      </c>
      <c r="H56" s="68">
        <f t="shared" si="1"/>
        <v>408</v>
      </c>
    </row>
    <row r="57" spans="2:8" ht="15.75" x14ac:dyDescent="0.25">
      <c r="B57" s="69" t="s">
        <v>90</v>
      </c>
      <c r="C57" s="23">
        <v>17.5</v>
      </c>
      <c r="D57" s="23">
        <v>15</v>
      </c>
      <c r="E57" s="23">
        <v>3</v>
      </c>
      <c r="F57" s="23">
        <v>3</v>
      </c>
      <c r="G57" s="69">
        <v>200</v>
      </c>
      <c r="H57" s="68">
        <f t="shared" si="1"/>
        <v>204</v>
      </c>
    </row>
    <row r="58" spans="2:8" ht="15.75" x14ac:dyDescent="0.25">
      <c r="B58" s="69" t="s">
        <v>90</v>
      </c>
      <c r="C58" s="23">
        <v>17.5</v>
      </c>
      <c r="D58" s="23">
        <v>15</v>
      </c>
      <c r="E58" s="23">
        <v>3</v>
      </c>
      <c r="F58" s="23">
        <v>3</v>
      </c>
      <c r="G58" s="69">
        <v>500</v>
      </c>
      <c r="H58" s="68">
        <f t="shared" si="1"/>
        <v>510</v>
      </c>
    </row>
    <row r="59" spans="2:8" ht="15.75" x14ac:dyDescent="0.25">
      <c r="B59" s="69" t="s">
        <v>90</v>
      </c>
      <c r="C59" s="23">
        <v>17.5</v>
      </c>
      <c r="D59" s="23">
        <v>15</v>
      </c>
      <c r="E59" s="23">
        <v>3</v>
      </c>
      <c r="F59" s="23">
        <v>3</v>
      </c>
      <c r="G59" s="69">
        <v>200</v>
      </c>
      <c r="H59" s="68">
        <f t="shared" si="1"/>
        <v>204</v>
      </c>
    </row>
    <row r="60" spans="2:8" ht="15.75" x14ac:dyDescent="0.25">
      <c r="B60" s="69" t="s">
        <v>90</v>
      </c>
      <c r="C60" s="23">
        <v>17.5</v>
      </c>
      <c r="D60" s="23">
        <v>15</v>
      </c>
      <c r="E60" s="23">
        <v>3</v>
      </c>
      <c r="F60" s="23">
        <v>3</v>
      </c>
      <c r="G60" s="69">
        <v>200</v>
      </c>
      <c r="H60" s="68">
        <f t="shared" si="1"/>
        <v>204</v>
      </c>
    </row>
    <row r="61" spans="2:8" ht="15.75" x14ac:dyDescent="0.25">
      <c r="B61" s="69" t="s">
        <v>90</v>
      </c>
      <c r="C61" s="23">
        <v>17.5</v>
      </c>
      <c r="D61" s="23">
        <v>15</v>
      </c>
      <c r="E61" s="23">
        <v>3</v>
      </c>
      <c r="F61" s="23">
        <v>3</v>
      </c>
      <c r="G61" s="69">
        <v>400</v>
      </c>
      <c r="H61" s="68">
        <f t="shared" si="1"/>
        <v>408</v>
      </c>
    </row>
    <row r="62" spans="2:8" ht="15.75" x14ac:dyDescent="0.25">
      <c r="B62" s="69" t="s">
        <v>90</v>
      </c>
      <c r="C62" s="23">
        <v>17.5</v>
      </c>
      <c r="D62" s="23">
        <v>15</v>
      </c>
      <c r="E62" s="23">
        <v>3</v>
      </c>
      <c r="F62" s="23">
        <v>3</v>
      </c>
      <c r="G62" s="69">
        <v>100</v>
      </c>
      <c r="H62" s="68">
        <f t="shared" si="1"/>
        <v>102</v>
      </c>
    </row>
    <row r="63" spans="2:8" ht="15.75" x14ac:dyDescent="0.25">
      <c r="B63" s="69" t="s">
        <v>90</v>
      </c>
      <c r="C63" s="23">
        <v>17.5</v>
      </c>
      <c r="D63" s="23">
        <v>15</v>
      </c>
      <c r="E63" s="23">
        <v>3</v>
      </c>
      <c r="F63" s="23">
        <v>3</v>
      </c>
      <c r="G63" s="69">
        <v>100</v>
      </c>
      <c r="H63" s="68">
        <f t="shared" si="1"/>
        <v>102</v>
      </c>
    </row>
    <row r="64" spans="2:8" ht="15.75" x14ac:dyDescent="0.25">
      <c r="B64" s="69" t="s">
        <v>90</v>
      </c>
      <c r="C64" s="23">
        <v>17.5</v>
      </c>
      <c r="D64" s="23">
        <v>15</v>
      </c>
      <c r="E64" s="23">
        <v>3</v>
      </c>
      <c r="F64" s="23">
        <v>3</v>
      </c>
      <c r="G64" s="69">
        <v>100</v>
      </c>
      <c r="H64" s="68">
        <f t="shared" si="1"/>
        <v>102</v>
      </c>
    </row>
    <row r="65" spans="2:8" ht="15.75" x14ac:dyDescent="0.25">
      <c r="B65" s="69" t="s">
        <v>90</v>
      </c>
      <c r="C65" s="23">
        <v>17.5</v>
      </c>
      <c r="D65" s="23">
        <v>15</v>
      </c>
      <c r="E65" s="23">
        <v>3</v>
      </c>
      <c r="F65" s="23">
        <v>3</v>
      </c>
      <c r="G65" s="69">
        <v>100</v>
      </c>
      <c r="H65" s="68">
        <f t="shared" si="1"/>
        <v>102</v>
      </c>
    </row>
    <row r="66" spans="2:8" ht="15.75" x14ac:dyDescent="0.25">
      <c r="B66" s="69" t="s">
        <v>90</v>
      </c>
      <c r="C66" s="23">
        <v>17.5</v>
      </c>
      <c r="D66" s="23">
        <v>15</v>
      </c>
      <c r="E66" s="23">
        <v>3</v>
      </c>
      <c r="F66" s="23">
        <v>3</v>
      </c>
      <c r="G66" s="69">
        <v>100</v>
      </c>
      <c r="H66" s="68">
        <f t="shared" si="1"/>
        <v>102</v>
      </c>
    </row>
    <row r="67" spans="2:8" ht="15.75" x14ac:dyDescent="0.25">
      <c r="B67" s="69" t="s">
        <v>90</v>
      </c>
      <c r="C67" s="23">
        <v>17.5</v>
      </c>
      <c r="D67" s="23">
        <v>15</v>
      </c>
      <c r="E67" s="23">
        <v>3</v>
      </c>
      <c r="F67" s="23">
        <v>3</v>
      </c>
      <c r="G67" s="69">
        <v>200</v>
      </c>
      <c r="H67" s="68">
        <f t="shared" si="1"/>
        <v>204</v>
      </c>
    </row>
    <row r="68" spans="2:8" ht="15.75" x14ac:dyDescent="0.25">
      <c r="B68" s="69" t="s">
        <v>90</v>
      </c>
      <c r="C68" s="23">
        <v>17.5</v>
      </c>
      <c r="D68" s="23">
        <v>15</v>
      </c>
      <c r="E68" s="23">
        <v>3</v>
      </c>
      <c r="F68" s="23">
        <v>3</v>
      </c>
      <c r="G68" s="69">
        <v>200</v>
      </c>
      <c r="H68" s="68">
        <f t="shared" si="1"/>
        <v>204</v>
      </c>
    </row>
    <row r="69" spans="2:8" ht="15.75" x14ac:dyDescent="0.25">
      <c r="B69" s="69" t="s">
        <v>90</v>
      </c>
      <c r="C69" s="23">
        <v>17.5</v>
      </c>
      <c r="D69" s="23">
        <v>15</v>
      </c>
      <c r="E69" s="23">
        <v>3</v>
      </c>
      <c r="F69" s="23">
        <v>3</v>
      </c>
      <c r="G69" s="69">
        <v>100</v>
      </c>
      <c r="H69" s="68">
        <f t="shared" si="1"/>
        <v>102</v>
      </c>
    </row>
    <row r="70" spans="2:8" ht="15.75" x14ac:dyDescent="0.25">
      <c r="B70" s="69" t="s">
        <v>90</v>
      </c>
      <c r="C70" s="23">
        <v>17.5</v>
      </c>
      <c r="D70" s="23">
        <v>15</v>
      </c>
      <c r="E70" s="23">
        <v>3</v>
      </c>
      <c r="F70" s="23">
        <v>3</v>
      </c>
      <c r="G70" s="69">
        <v>100</v>
      </c>
      <c r="H70" s="68">
        <f t="shared" si="1"/>
        <v>102</v>
      </c>
    </row>
    <row r="71" spans="2:8" ht="15.75" x14ac:dyDescent="0.25">
      <c r="B71" s="69" t="s">
        <v>90</v>
      </c>
      <c r="C71" s="23">
        <v>17.5</v>
      </c>
      <c r="D71" s="23">
        <v>15</v>
      </c>
      <c r="E71" s="23">
        <v>3</v>
      </c>
      <c r="F71" s="23">
        <v>3</v>
      </c>
      <c r="G71" s="69">
        <v>400</v>
      </c>
      <c r="H71" s="68">
        <f t="shared" si="1"/>
        <v>408</v>
      </c>
    </row>
    <row r="72" spans="2:8" ht="15.75" x14ac:dyDescent="0.25">
      <c r="B72" s="69" t="s">
        <v>90</v>
      </c>
      <c r="C72" s="23">
        <v>17.5</v>
      </c>
      <c r="D72" s="23">
        <v>15</v>
      </c>
      <c r="E72" s="23">
        <v>3</v>
      </c>
      <c r="F72" s="23">
        <v>3</v>
      </c>
      <c r="G72" s="69">
        <v>200</v>
      </c>
      <c r="H72" s="68">
        <f t="shared" si="1"/>
        <v>204</v>
      </c>
    </row>
    <row r="73" spans="2:8" ht="15.75" x14ac:dyDescent="0.25">
      <c r="B73" s="69" t="s">
        <v>90</v>
      </c>
      <c r="C73" s="23">
        <v>17.5</v>
      </c>
      <c r="D73" s="23">
        <v>15</v>
      </c>
      <c r="E73" s="23">
        <v>3</v>
      </c>
      <c r="F73" s="23">
        <v>3</v>
      </c>
      <c r="G73" s="69">
        <v>200</v>
      </c>
      <c r="H73" s="68">
        <f t="shared" si="1"/>
        <v>204</v>
      </c>
    </row>
    <row r="74" spans="2:8" ht="15.75" x14ac:dyDescent="0.25">
      <c r="B74" s="69" t="s">
        <v>90</v>
      </c>
      <c r="C74" s="23">
        <v>17.5</v>
      </c>
      <c r="D74" s="23">
        <v>15</v>
      </c>
      <c r="E74" s="23">
        <v>3</v>
      </c>
      <c r="F74" s="23">
        <v>3</v>
      </c>
      <c r="G74" s="69">
        <v>200</v>
      </c>
      <c r="H74" s="68">
        <f t="shared" si="1"/>
        <v>204</v>
      </c>
    </row>
    <row r="75" spans="2:8" ht="15.75" x14ac:dyDescent="0.25">
      <c r="B75" s="69" t="s">
        <v>90</v>
      </c>
      <c r="C75" s="23">
        <v>17.5</v>
      </c>
      <c r="D75" s="23">
        <v>15</v>
      </c>
      <c r="E75" s="23">
        <v>3</v>
      </c>
      <c r="F75" s="23">
        <v>3</v>
      </c>
      <c r="G75" s="69">
        <v>200</v>
      </c>
      <c r="H75" s="68">
        <f t="shared" si="1"/>
        <v>204</v>
      </c>
    </row>
    <row r="76" spans="2:8" ht="15.75" x14ac:dyDescent="0.25">
      <c r="B76" s="69" t="s">
        <v>90</v>
      </c>
      <c r="C76" s="23">
        <v>17.5</v>
      </c>
      <c r="D76" s="23">
        <v>15</v>
      </c>
      <c r="E76" s="23">
        <v>3</v>
      </c>
      <c r="F76" s="23">
        <v>3</v>
      </c>
      <c r="G76" s="69">
        <v>200</v>
      </c>
      <c r="H76" s="68">
        <f t="shared" si="1"/>
        <v>204</v>
      </c>
    </row>
    <row r="77" spans="2:8" ht="15.75" x14ac:dyDescent="0.25">
      <c r="B77" s="69" t="s">
        <v>90</v>
      </c>
      <c r="C77" s="23">
        <v>17.5</v>
      </c>
      <c r="D77" s="23">
        <v>15</v>
      </c>
      <c r="E77" s="23">
        <v>3</v>
      </c>
      <c r="F77" s="23">
        <v>3</v>
      </c>
      <c r="G77" s="69">
        <v>200</v>
      </c>
      <c r="H77" s="68">
        <f t="shared" ref="H77:H106" si="2">G77*2/100+G77</f>
        <v>204</v>
      </c>
    </row>
    <row r="78" spans="2:8" ht="15.75" x14ac:dyDescent="0.25">
      <c r="B78" s="69" t="s">
        <v>90</v>
      </c>
      <c r="C78" s="23">
        <v>17.5</v>
      </c>
      <c r="D78" s="23">
        <v>15</v>
      </c>
      <c r="E78" s="23">
        <v>3</v>
      </c>
      <c r="F78" s="23">
        <v>3</v>
      </c>
      <c r="G78" s="69">
        <v>400</v>
      </c>
      <c r="H78" s="68">
        <f t="shared" si="2"/>
        <v>408</v>
      </c>
    </row>
    <row r="79" spans="2:8" ht="15.75" x14ac:dyDescent="0.25">
      <c r="B79" s="69" t="s">
        <v>90</v>
      </c>
      <c r="C79" s="23">
        <v>17.5</v>
      </c>
      <c r="D79" s="23">
        <v>15</v>
      </c>
      <c r="E79" s="23">
        <v>3</v>
      </c>
      <c r="F79" s="23">
        <v>3</v>
      </c>
      <c r="G79" s="69">
        <v>200</v>
      </c>
      <c r="H79" s="68">
        <f t="shared" si="2"/>
        <v>204</v>
      </c>
    </row>
    <row r="80" spans="2:8" ht="15.75" x14ac:dyDescent="0.25">
      <c r="B80" s="69" t="s">
        <v>90</v>
      </c>
      <c r="C80" s="23">
        <v>17.5</v>
      </c>
      <c r="D80" s="23">
        <v>15</v>
      </c>
      <c r="E80" s="23">
        <v>3</v>
      </c>
      <c r="F80" s="23">
        <v>3</v>
      </c>
      <c r="G80" s="69">
        <v>200</v>
      </c>
      <c r="H80" s="68">
        <f t="shared" si="2"/>
        <v>204</v>
      </c>
    </row>
    <row r="81" spans="2:8" ht="15.75" x14ac:dyDescent="0.25">
      <c r="B81" s="69" t="s">
        <v>90</v>
      </c>
      <c r="C81" s="23">
        <v>17.5</v>
      </c>
      <c r="D81" s="23">
        <v>15</v>
      </c>
      <c r="E81" s="23">
        <v>3</v>
      </c>
      <c r="F81" s="23">
        <v>3</v>
      </c>
      <c r="G81" s="69">
        <v>217</v>
      </c>
      <c r="H81" s="68">
        <f t="shared" si="2"/>
        <v>221.34</v>
      </c>
    </row>
    <row r="82" spans="2:8" ht="15.75" x14ac:dyDescent="0.25">
      <c r="B82" s="69" t="s">
        <v>90</v>
      </c>
      <c r="C82" s="23">
        <v>17.5</v>
      </c>
      <c r="D82" s="23">
        <v>15</v>
      </c>
      <c r="E82" s="23">
        <v>3</v>
      </c>
      <c r="F82" s="23">
        <v>3</v>
      </c>
      <c r="G82" s="69">
        <v>200</v>
      </c>
      <c r="H82" s="68">
        <f t="shared" si="2"/>
        <v>204</v>
      </c>
    </row>
    <row r="83" spans="2:8" ht="15.75" x14ac:dyDescent="0.25">
      <c r="B83" s="69" t="s">
        <v>90</v>
      </c>
      <c r="C83" s="23">
        <v>17.5</v>
      </c>
      <c r="D83" s="23">
        <v>15</v>
      </c>
      <c r="E83" s="23">
        <v>3</v>
      </c>
      <c r="F83" s="23">
        <v>3</v>
      </c>
      <c r="G83" s="69">
        <v>300</v>
      </c>
      <c r="H83" s="68">
        <f t="shared" si="2"/>
        <v>306</v>
      </c>
    </row>
    <row r="84" spans="2:8" ht="15.75" x14ac:dyDescent="0.25">
      <c r="B84" s="69" t="s">
        <v>90</v>
      </c>
      <c r="C84" s="23">
        <v>17.5</v>
      </c>
      <c r="D84" s="23">
        <v>15</v>
      </c>
      <c r="E84" s="23">
        <v>3</v>
      </c>
      <c r="F84" s="23">
        <v>3</v>
      </c>
      <c r="G84" s="69">
        <v>200</v>
      </c>
      <c r="H84" s="68">
        <f t="shared" si="2"/>
        <v>204</v>
      </c>
    </row>
    <row r="85" spans="2:8" ht="15.75" x14ac:dyDescent="0.25">
      <c r="B85" s="69" t="s">
        <v>90</v>
      </c>
      <c r="C85" s="23">
        <v>17.5</v>
      </c>
      <c r="D85" s="23">
        <v>15</v>
      </c>
      <c r="E85" s="23">
        <v>3</v>
      </c>
      <c r="F85" s="23">
        <v>3</v>
      </c>
      <c r="G85" s="69">
        <v>500</v>
      </c>
      <c r="H85" s="68">
        <f t="shared" si="2"/>
        <v>510</v>
      </c>
    </row>
    <row r="86" spans="2:8" ht="15.75" x14ac:dyDescent="0.25">
      <c r="B86" s="69" t="s">
        <v>90</v>
      </c>
      <c r="C86" s="23">
        <v>17.5</v>
      </c>
      <c r="D86" s="23">
        <v>15</v>
      </c>
      <c r="E86" s="23">
        <v>3</v>
      </c>
      <c r="F86" s="23">
        <v>3</v>
      </c>
      <c r="G86" s="69">
        <v>200</v>
      </c>
      <c r="H86" s="68">
        <f t="shared" si="2"/>
        <v>204</v>
      </c>
    </row>
    <row r="87" spans="2:8" ht="15.75" x14ac:dyDescent="0.25">
      <c r="B87" s="69" t="s">
        <v>90</v>
      </c>
      <c r="C87" s="23">
        <v>17.5</v>
      </c>
      <c r="D87" s="23">
        <v>15</v>
      </c>
      <c r="E87" s="23">
        <v>3</v>
      </c>
      <c r="F87" s="23">
        <v>3</v>
      </c>
      <c r="G87" s="69">
        <v>500</v>
      </c>
      <c r="H87" s="68">
        <f t="shared" si="2"/>
        <v>510</v>
      </c>
    </row>
    <row r="88" spans="2:8" ht="15.75" x14ac:dyDescent="0.25">
      <c r="B88" s="69" t="s">
        <v>90</v>
      </c>
      <c r="C88" s="23">
        <v>17.5</v>
      </c>
      <c r="D88" s="23">
        <v>15</v>
      </c>
      <c r="E88" s="23">
        <v>3</v>
      </c>
      <c r="F88" s="23">
        <v>3</v>
      </c>
      <c r="G88" s="69">
        <v>200</v>
      </c>
      <c r="H88" s="68">
        <f t="shared" si="2"/>
        <v>204</v>
      </c>
    </row>
    <row r="89" spans="2:8" ht="15.75" x14ac:dyDescent="0.25">
      <c r="B89" s="69" t="s">
        <v>90</v>
      </c>
      <c r="C89" s="23">
        <v>17.5</v>
      </c>
      <c r="D89" s="23">
        <v>15</v>
      </c>
      <c r="E89" s="23">
        <v>3</v>
      </c>
      <c r="F89" s="23">
        <v>3</v>
      </c>
      <c r="G89" s="69">
        <v>200</v>
      </c>
      <c r="H89" s="68">
        <f t="shared" si="2"/>
        <v>204</v>
      </c>
    </row>
    <row r="90" spans="2:8" ht="15.75" x14ac:dyDescent="0.25">
      <c r="B90" s="69" t="s">
        <v>90</v>
      </c>
      <c r="C90" s="23">
        <v>17.5</v>
      </c>
      <c r="D90" s="23">
        <v>15</v>
      </c>
      <c r="E90" s="23">
        <v>3</v>
      </c>
      <c r="F90" s="23">
        <v>3</v>
      </c>
      <c r="G90" s="69">
        <v>200</v>
      </c>
      <c r="H90" s="68">
        <f t="shared" si="2"/>
        <v>204</v>
      </c>
    </row>
    <row r="91" spans="2:8" ht="15.75" x14ac:dyDescent="0.25">
      <c r="B91" s="69" t="s">
        <v>90</v>
      </c>
      <c r="C91" s="23">
        <v>17.5</v>
      </c>
      <c r="D91" s="23">
        <v>15</v>
      </c>
      <c r="E91" s="23">
        <v>3</v>
      </c>
      <c r="F91" s="23">
        <v>3</v>
      </c>
      <c r="G91" s="69">
        <v>400</v>
      </c>
      <c r="H91" s="68">
        <f t="shared" si="2"/>
        <v>408</v>
      </c>
    </row>
    <row r="92" spans="2:8" ht="15.75" x14ac:dyDescent="0.25">
      <c r="B92" s="69" t="s">
        <v>90</v>
      </c>
      <c r="C92" s="23">
        <v>17.5</v>
      </c>
      <c r="D92" s="23">
        <v>15</v>
      </c>
      <c r="E92" s="23">
        <v>3</v>
      </c>
      <c r="F92" s="23">
        <v>3</v>
      </c>
      <c r="G92" s="69">
        <v>200</v>
      </c>
      <c r="H92" s="68">
        <f t="shared" si="2"/>
        <v>204</v>
      </c>
    </row>
    <row r="93" spans="2:8" ht="15.75" x14ac:dyDescent="0.25">
      <c r="B93" s="69" t="s">
        <v>90</v>
      </c>
      <c r="C93" s="23">
        <v>17.5</v>
      </c>
      <c r="D93" s="23">
        <v>15</v>
      </c>
      <c r="E93" s="23">
        <v>3</v>
      </c>
      <c r="F93" s="23">
        <v>3</v>
      </c>
      <c r="G93" s="69">
        <v>600</v>
      </c>
      <c r="H93" s="68">
        <f t="shared" si="2"/>
        <v>612</v>
      </c>
    </row>
    <row r="94" spans="2:8" ht="15.75" x14ac:dyDescent="0.25">
      <c r="B94" s="69" t="s">
        <v>90</v>
      </c>
      <c r="C94" s="23">
        <v>17.5</v>
      </c>
      <c r="D94" s="23">
        <v>15</v>
      </c>
      <c r="E94" s="23">
        <v>3</v>
      </c>
      <c r="F94" s="23">
        <v>3</v>
      </c>
      <c r="G94" s="69">
        <v>200</v>
      </c>
      <c r="H94" s="68">
        <f t="shared" si="2"/>
        <v>204</v>
      </c>
    </row>
    <row r="95" spans="2:8" ht="15.75" x14ac:dyDescent="0.25">
      <c r="B95" s="69" t="s">
        <v>90</v>
      </c>
      <c r="C95" s="23">
        <v>17.5</v>
      </c>
      <c r="D95" s="23">
        <v>15</v>
      </c>
      <c r="E95" s="23">
        <v>3</v>
      </c>
      <c r="F95" s="23">
        <v>3</v>
      </c>
      <c r="G95" s="69">
        <v>200</v>
      </c>
      <c r="H95" s="68">
        <f t="shared" si="2"/>
        <v>204</v>
      </c>
    </row>
    <row r="96" spans="2:8" ht="15.75" x14ac:dyDescent="0.25">
      <c r="B96" s="69" t="s">
        <v>90</v>
      </c>
      <c r="C96" s="23">
        <v>17.5</v>
      </c>
      <c r="D96" s="23">
        <v>15</v>
      </c>
      <c r="E96" s="23">
        <v>3</v>
      </c>
      <c r="F96" s="23">
        <v>3</v>
      </c>
      <c r="G96" s="69">
        <v>500</v>
      </c>
      <c r="H96" s="68">
        <f t="shared" si="2"/>
        <v>510</v>
      </c>
    </row>
    <row r="97" spans="2:8" ht="15.75" x14ac:dyDescent="0.25">
      <c r="B97" s="69" t="s">
        <v>90</v>
      </c>
      <c r="C97" s="23">
        <v>17.5</v>
      </c>
      <c r="D97" s="23">
        <v>15</v>
      </c>
      <c r="E97" s="23">
        <v>3</v>
      </c>
      <c r="F97" s="23">
        <v>3</v>
      </c>
      <c r="G97" s="69">
        <v>200</v>
      </c>
      <c r="H97" s="68">
        <f t="shared" si="2"/>
        <v>204</v>
      </c>
    </row>
    <row r="98" spans="2:8" ht="15.75" x14ac:dyDescent="0.25">
      <c r="B98" s="69" t="s">
        <v>90</v>
      </c>
      <c r="C98" s="23">
        <v>17.5</v>
      </c>
      <c r="D98" s="23">
        <v>15</v>
      </c>
      <c r="E98" s="23">
        <v>3</v>
      </c>
      <c r="F98" s="23">
        <v>3</v>
      </c>
      <c r="G98" s="69">
        <v>200</v>
      </c>
      <c r="H98" s="68">
        <f t="shared" si="2"/>
        <v>204</v>
      </c>
    </row>
    <row r="99" spans="2:8" ht="15.75" x14ac:dyDescent="0.25">
      <c r="B99" s="69" t="s">
        <v>90</v>
      </c>
      <c r="C99" s="23">
        <v>17.5</v>
      </c>
      <c r="D99" s="23">
        <v>15</v>
      </c>
      <c r="E99" s="23">
        <v>3</v>
      </c>
      <c r="F99" s="23">
        <v>3</v>
      </c>
      <c r="G99" s="69">
        <v>167</v>
      </c>
      <c r="H99" s="68">
        <f t="shared" si="2"/>
        <v>170.34</v>
      </c>
    </row>
    <row r="100" spans="2:8" ht="15.75" x14ac:dyDescent="0.25">
      <c r="B100" s="69" t="s">
        <v>90</v>
      </c>
      <c r="C100" s="23">
        <v>17.5</v>
      </c>
      <c r="D100" s="23">
        <v>15</v>
      </c>
      <c r="E100" s="23">
        <v>3</v>
      </c>
      <c r="F100" s="23">
        <v>3</v>
      </c>
      <c r="G100" s="69">
        <v>200</v>
      </c>
      <c r="H100" s="68">
        <f t="shared" si="2"/>
        <v>204</v>
      </c>
    </row>
    <row r="101" spans="2:8" ht="15.75" x14ac:dyDescent="0.25">
      <c r="B101" s="69" t="s">
        <v>90</v>
      </c>
      <c r="C101" s="23">
        <v>17.5</v>
      </c>
      <c r="D101" s="23">
        <v>15</v>
      </c>
      <c r="E101" s="23">
        <v>3</v>
      </c>
      <c r="F101" s="23">
        <v>3</v>
      </c>
      <c r="G101" s="69">
        <v>200</v>
      </c>
      <c r="H101" s="68">
        <f t="shared" si="2"/>
        <v>204</v>
      </c>
    </row>
    <row r="102" spans="2:8" ht="15.75" x14ac:dyDescent="0.25">
      <c r="B102" s="69" t="s">
        <v>90</v>
      </c>
      <c r="C102" s="23">
        <v>17.5</v>
      </c>
      <c r="D102" s="23">
        <v>15</v>
      </c>
      <c r="E102" s="23">
        <v>3</v>
      </c>
      <c r="F102" s="23">
        <v>3</v>
      </c>
      <c r="G102" s="69">
        <v>200</v>
      </c>
      <c r="H102" s="68">
        <f t="shared" si="2"/>
        <v>204</v>
      </c>
    </row>
    <row r="103" spans="2:8" ht="15.75" x14ac:dyDescent="0.25">
      <c r="B103" s="69" t="s">
        <v>90</v>
      </c>
      <c r="C103" s="23">
        <v>17.5</v>
      </c>
      <c r="D103" s="23">
        <v>15</v>
      </c>
      <c r="E103" s="23">
        <v>3</v>
      </c>
      <c r="F103" s="23">
        <v>3</v>
      </c>
      <c r="G103" s="69">
        <v>200</v>
      </c>
      <c r="H103" s="68">
        <f t="shared" si="2"/>
        <v>204</v>
      </c>
    </row>
    <row r="104" spans="2:8" ht="15.75" x14ac:dyDescent="0.25">
      <c r="B104" s="69" t="s">
        <v>90</v>
      </c>
      <c r="C104" s="23">
        <v>17.5</v>
      </c>
      <c r="D104" s="23">
        <v>15</v>
      </c>
      <c r="E104" s="23">
        <v>3</v>
      </c>
      <c r="F104" s="23">
        <v>3</v>
      </c>
      <c r="G104" s="69">
        <v>200</v>
      </c>
      <c r="H104" s="68">
        <f t="shared" si="2"/>
        <v>204</v>
      </c>
    </row>
    <row r="105" spans="2:8" ht="15.75" x14ac:dyDescent="0.25">
      <c r="B105" s="69" t="s">
        <v>90</v>
      </c>
      <c r="C105" s="23">
        <v>17.5</v>
      </c>
      <c r="D105" s="23">
        <v>15</v>
      </c>
      <c r="E105" s="23">
        <v>3</v>
      </c>
      <c r="F105" s="23">
        <v>3</v>
      </c>
      <c r="G105" s="69">
        <v>200</v>
      </c>
      <c r="H105" s="68">
        <f t="shared" si="2"/>
        <v>204</v>
      </c>
    </row>
    <row r="106" spans="2:8" ht="15.75" x14ac:dyDescent="0.25">
      <c r="B106" s="69" t="s">
        <v>90</v>
      </c>
      <c r="C106" s="23">
        <v>17.5</v>
      </c>
      <c r="D106" s="23">
        <v>15</v>
      </c>
      <c r="E106" s="23">
        <v>3</v>
      </c>
      <c r="F106" s="23">
        <v>3</v>
      </c>
      <c r="G106" s="69">
        <v>200</v>
      </c>
      <c r="H106" s="68">
        <f t="shared" si="2"/>
        <v>204</v>
      </c>
    </row>
    <row r="107" spans="2:8" x14ac:dyDescent="0.25">
      <c r="B107" s="67"/>
      <c r="C107" s="67"/>
      <c r="D107" s="67"/>
      <c r="E107" s="67"/>
      <c r="F107" s="67"/>
      <c r="G107" s="67"/>
      <c r="H107" s="68">
        <f>SUM(H13:H106)</f>
        <v>23463.059999999998</v>
      </c>
    </row>
    <row r="109" spans="2:8" x14ac:dyDescent="0.25">
      <c r="B109" s="4"/>
      <c r="C109" s="4"/>
      <c r="D109" s="4"/>
      <c r="E109" s="4"/>
      <c r="F109" s="4"/>
      <c r="G109" s="4"/>
      <c r="H109" s="4"/>
    </row>
    <row r="110" spans="2:8" x14ac:dyDescent="0.25">
      <c r="B110" s="4"/>
      <c r="C110" s="4"/>
      <c r="D110" s="4"/>
      <c r="E110" s="4"/>
      <c r="F110" s="4"/>
      <c r="G110" s="4"/>
      <c r="H110" s="4"/>
    </row>
    <row r="111" spans="2:8" x14ac:dyDescent="0.25">
      <c r="B111" s="4"/>
      <c r="C111" s="4"/>
      <c r="D111" s="4"/>
      <c r="E111" s="4"/>
      <c r="F111" s="4"/>
      <c r="G111" s="4"/>
      <c r="H111" s="4"/>
    </row>
    <row r="112" spans="2:8" x14ac:dyDescent="0.25">
      <c r="B112" s="4"/>
      <c r="C112" s="4"/>
      <c r="D112" s="4"/>
      <c r="E112" s="4"/>
      <c r="F112" s="4"/>
      <c r="G112" s="4"/>
      <c r="H112" s="4"/>
    </row>
    <row r="113" spans="2:8" x14ac:dyDescent="0.25">
      <c r="B113" s="5"/>
      <c r="C113" s="5"/>
      <c r="D113" s="5"/>
      <c r="E113" s="5"/>
      <c r="F113" s="5"/>
      <c r="G113" s="5"/>
      <c r="H113" s="5"/>
    </row>
    <row r="114" spans="2:8" x14ac:dyDescent="0.25">
      <c r="B114" s="6"/>
      <c r="C114" s="6"/>
      <c r="D114" s="6"/>
      <c r="E114" s="6"/>
      <c r="F114" s="6"/>
      <c r="G114" s="6"/>
      <c r="H114" s="6"/>
    </row>
    <row r="115" spans="2:8" x14ac:dyDescent="0.25">
      <c r="B115" s="5"/>
      <c r="C115" s="5"/>
      <c r="D115" s="5"/>
      <c r="E115" s="5"/>
      <c r="F115" s="5"/>
      <c r="G115" s="5"/>
      <c r="H115" s="5"/>
    </row>
    <row r="116" spans="2:8" ht="15.75" x14ac:dyDescent="0.25">
      <c r="B116" s="8"/>
      <c r="C116" s="8"/>
      <c r="D116" s="8"/>
      <c r="E116" s="8"/>
      <c r="F116" s="8"/>
      <c r="G116" s="8"/>
      <c r="H116" s="8"/>
    </row>
    <row r="117" spans="2:8" ht="15.75" x14ac:dyDescent="0.25">
      <c r="B117" s="8"/>
      <c r="C117" s="8"/>
      <c r="D117" s="8"/>
      <c r="E117" s="8"/>
      <c r="F117" s="8"/>
      <c r="G117" s="8"/>
      <c r="H117" s="8"/>
    </row>
    <row r="118" spans="2:8" x14ac:dyDescent="0.25">
      <c r="B118" s="5"/>
      <c r="C118" s="5"/>
      <c r="D118" s="5"/>
      <c r="E118" s="5"/>
      <c r="F118" s="5"/>
      <c r="G118" s="5"/>
      <c r="H118" s="5"/>
    </row>
    <row r="119" spans="2:8" x14ac:dyDescent="0.25">
      <c r="B119" s="5"/>
      <c r="C119" s="5"/>
      <c r="D119" s="5"/>
      <c r="E119" s="5"/>
      <c r="F119" s="5"/>
      <c r="G119" s="5"/>
      <c r="H119" s="5"/>
    </row>
    <row r="120" spans="2:8" x14ac:dyDescent="0.25">
      <c r="B120" s="14"/>
      <c r="C120" s="14"/>
      <c r="D120" s="14"/>
      <c r="E120" s="14"/>
      <c r="F120" s="14"/>
      <c r="G120" s="14"/>
      <c r="H120" s="14"/>
    </row>
    <row r="121" spans="2:8" x14ac:dyDescent="0.25">
      <c r="B121" s="14"/>
      <c r="C121" s="14"/>
      <c r="D121" s="14"/>
      <c r="E121" s="14"/>
      <c r="F121" s="14"/>
      <c r="G121" s="14"/>
      <c r="H121" s="14"/>
    </row>
    <row r="122" spans="2:8" ht="15.75" x14ac:dyDescent="0.25">
      <c r="B122" s="2"/>
      <c r="C122" s="2"/>
      <c r="D122" s="2"/>
      <c r="E122" s="2"/>
      <c r="F122" s="2"/>
      <c r="G122" s="2"/>
      <c r="H122" s="2"/>
    </row>
    <row r="123" spans="2:8" ht="15.75" x14ac:dyDescent="0.25">
      <c r="B123" s="2"/>
      <c r="C123" s="2"/>
      <c r="D123" s="2"/>
      <c r="E123" s="2"/>
      <c r="F123" s="2"/>
      <c r="G123" s="2"/>
      <c r="H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CTN</vt:lpstr>
      <vt:lpstr>Carton</vt:lpstr>
      <vt:lpstr>Sheet1</vt:lpstr>
      <vt:lpstr>Carton!Print_Area</vt:lpstr>
      <vt:lpstr>CTN!Print_Area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  NAHID</dc:creator>
  <cp:lastModifiedBy>ismail - [2010]</cp:lastModifiedBy>
  <cp:lastPrinted>2026-06-11T09:32:07Z</cp:lastPrinted>
  <dcterms:created xsi:type="dcterms:W3CDTF">2020-08-09T13:28:45Z</dcterms:created>
  <dcterms:modified xsi:type="dcterms:W3CDTF">2026-06-17T03:32:51Z</dcterms:modified>
</cp:coreProperties>
</file>